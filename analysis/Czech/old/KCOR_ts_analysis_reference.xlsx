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stk\Documents\GitHub\KCOR\analysis\Czech\"/>
    </mc:Choice>
  </mc:AlternateContent>
  <xr:revisionPtr revIDLastSave="0" documentId="8_{C9D3DC0C-AE89-48D8-9CE0-CD654CFC4435}" xr6:coauthVersionLast="47" xr6:coauthVersionMax="47" xr10:uidLastSave="{00000000-0000-0000-0000-000000000000}"/>
  <bookViews>
    <workbookView xWindow="-120" yWindow="-120" windowWidth="29040" windowHeight="15720" xr2:uid="{00000000-000D-0000-FFFF-FFFF00000000}"/>
  </bookViews>
  <sheets>
    <sheet name="adjusted h(t)" sheetId="3" r:id="rId1"/>
    <sheet name="all on one plot" sheetId="2" r:id="rId2"/>
    <sheet name="time series analysis" sheetId="1" r:id="rId3"/>
  </sheets>
  <calcPr calcId="191029"/>
  <pivotCaches>
    <pivotCache cacheId="430" r:id="rId4"/>
    <pivotCache cacheId="433" r:id="rId5"/>
    <pivotCache cacheId="481" r:id="rId6"/>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imeSeries_8da756ae-c628-4f6e-8757-3d760c9820f4" name="TimeSeries" connection="Query - TimeSerie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3" l="1"/>
  <c r="D6" i="3" s="1"/>
  <c r="C5" i="3"/>
  <c r="D5" i="3" s="1"/>
  <c r="C7" i="3"/>
  <c r="D7" i="3" s="1"/>
  <c r="C8" i="3"/>
  <c r="D8" i="3" s="1"/>
  <c r="C9" i="3"/>
  <c r="D9" i="3" s="1"/>
  <c r="C10" i="3"/>
  <c r="D10" i="3" s="1"/>
  <c r="C11" i="3"/>
  <c r="D11" i="3" s="1"/>
  <c r="C12" i="3"/>
  <c r="D12" i="3" s="1"/>
  <c r="C13" i="3"/>
  <c r="D13" i="3" s="1"/>
  <c r="C14" i="3"/>
  <c r="D14" i="3" s="1"/>
  <c r="C15" i="3"/>
  <c r="D15" i="3" s="1"/>
  <c r="C16" i="3"/>
  <c r="D16" i="3" s="1"/>
  <c r="C17" i="3"/>
  <c r="D17" i="3" s="1"/>
  <c r="C18" i="3"/>
  <c r="D18" i="3" s="1"/>
  <c r="C19" i="3"/>
  <c r="D19" i="3" s="1"/>
  <c r="C20" i="3"/>
  <c r="D20" i="3" s="1"/>
  <c r="C21" i="3"/>
  <c r="D21" i="3" s="1"/>
  <c r="C22" i="3"/>
  <c r="D22" i="3" s="1"/>
  <c r="C23" i="3"/>
  <c r="D23" i="3" s="1"/>
  <c r="C24" i="3"/>
  <c r="D24" i="3" s="1"/>
  <c r="C25" i="3"/>
  <c r="D25" i="3" s="1"/>
  <c r="C26" i="3"/>
  <c r="D26" i="3" s="1"/>
  <c r="C27" i="3"/>
  <c r="D27" i="3" s="1"/>
  <c r="C28" i="3"/>
  <c r="D28" i="3" s="1"/>
  <c r="C29" i="3"/>
  <c r="D29" i="3" s="1"/>
  <c r="C30" i="3"/>
  <c r="D30" i="3" s="1"/>
  <c r="C31" i="3"/>
  <c r="D31" i="3" s="1"/>
  <c r="C32" i="3"/>
  <c r="D32" i="3" s="1"/>
  <c r="C33" i="3"/>
  <c r="D33" i="3" s="1"/>
  <c r="C34" i="3"/>
  <c r="D34" i="3" s="1"/>
  <c r="C35" i="3"/>
  <c r="D35" i="3" s="1"/>
  <c r="C36" i="3"/>
  <c r="D36" i="3" s="1"/>
  <c r="C37" i="3"/>
  <c r="D37" i="3" s="1"/>
  <c r="C38" i="3"/>
  <c r="D38" i="3" s="1"/>
  <c r="C39" i="3"/>
  <c r="D39" i="3" s="1"/>
  <c r="C40" i="3"/>
  <c r="D40" i="3" s="1"/>
  <c r="C41" i="3"/>
  <c r="D41" i="3" s="1"/>
  <c r="C42" i="3"/>
  <c r="D42" i="3" s="1"/>
  <c r="C43" i="3"/>
  <c r="D43" i="3" s="1"/>
  <c r="C44" i="3"/>
  <c r="D44" i="3" s="1"/>
  <c r="C45" i="3"/>
  <c r="D45" i="3" s="1"/>
  <c r="C46" i="3"/>
  <c r="D46" i="3" s="1"/>
  <c r="C47" i="3"/>
  <c r="D47" i="3" s="1"/>
  <c r="C48" i="3"/>
  <c r="D48" i="3" s="1"/>
  <c r="C49" i="3"/>
  <c r="D49" i="3" s="1"/>
  <c r="C50" i="3"/>
  <c r="D50" i="3" s="1"/>
  <c r="C51" i="3"/>
  <c r="D51" i="3" s="1"/>
  <c r="C52" i="3"/>
  <c r="D52" i="3" s="1"/>
  <c r="C53" i="3"/>
  <c r="D53" i="3" s="1"/>
  <c r="C54" i="3"/>
  <c r="D54" i="3" s="1"/>
  <c r="C55" i="3"/>
  <c r="D55" i="3" s="1"/>
  <c r="C56" i="3"/>
  <c r="D56" i="3" s="1"/>
  <c r="C57" i="3"/>
  <c r="D57" i="3" s="1"/>
  <c r="C58" i="3"/>
  <c r="D58" i="3" s="1"/>
  <c r="C59" i="3"/>
  <c r="D59" i="3" s="1"/>
  <c r="C60" i="3"/>
  <c r="D60" i="3" s="1"/>
  <c r="C61" i="3"/>
  <c r="D61" i="3" s="1"/>
  <c r="C62" i="3"/>
  <c r="D62" i="3" s="1"/>
  <c r="C63" i="3"/>
  <c r="D63" i="3" s="1"/>
  <c r="C64" i="3"/>
  <c r="D64" i="3" s="1"/>
  <c r="C65" i="3"/>
  <c r="D65" i="3" s="1"/>
  <c r="C66" i="3"/>
  <c r="D66" i="3" s="1"/>
  <c r="C67" i="3"/>
  <c r="D67" i="3" s="1"/>
  <c r="C68" i="3"/>
  <c r="D68" i="3" s="1"/>
  <c r="C69" i="3"/>
  <c r="D69" i="3" s="1"/>
  <c r="C70" i="3"/>
  <c r="D70" i="3" s="1"/>
  <c r="C71" i="3"/>
  <c r="D71" i="3" s="1"/>
  <c r="C72" i="3"/>
  <c r="D72" i="3" s="1"/>
  <c r="C73" i="3"/>
  <c r="D73" i="3" s="1"/>
  <c r="C74" i="3"/>
  <c r="D74" i="3" s="1"/>
  <c r="C75" i="3"/>
  <c r="D75" i="3" s="1"/>
  <c r="C76" i="3"/>
  <c r="D76" i="3" s="1"/>
  <c r="C77" i="3"/>
  <c r="D77" i="3" s="1"/>
  <c r="C78" i="3"/>
  <c r="D78" i="3" s="1"/>
  <c r="C79" i="3"/>
  <c r="D79" i="3" s="1"/>
  <c r="C80" i="3"/>
  <c r="D80" i="3" s="1"/>
  <c r="C81" i="3"/>
  <c r="D81" i="3" s="1"/>
  <c r="C82" i="3"/>
  <c r="D82" i="3" s="1"/>
  <c r="C83" i="3"/>
  <c r="D83" i="3" s="1"/>
  <c r="C84" i="3"/>
  <c r="D84" i="3" s="1"/>
  <c r="C85" i="3"/>
  <c r="D85" i="3" s="1"/>
  <c r="C86" i="3"/>
  <c r="D86" i="3" s="1"/>
  <c r="C87" i="3"/>
  <c r="D87" i="3" s="1"/>
  <c r="C88" i="3"/>
  <c r="D88" i="3" s="1"/>
  <c r="C89" i="3"/>
  <c r="D89" i="3" s="1"/>
  <c r="C90" i="3"/>
  <c r="D90" i="3" s="1"/>
  <c r="C91" i="3"/>
  <c r="D91" i="3" s="1"/>
  <c r="C92" i="3"/>
  <c r="D92" i="3" s="1"/>
  <c r="C93" i="3"/>
  <c r="D93" i="3" s="1"/>
  <c r="C94" i="3"/>
  <c r="D94" i="3" s="1"/>
  <c r="C95" i="3"/>
  <c r="D95" i="3" s="1"/>
  <c r="C96" i="3"/>
  <c r="D96" i="3" s="1"/>
  <c r="C97" i="3"/>
  <c r="D97" i="3" s="1"/>
  <c r="C98" i="3"/>
  <c r="D98" i="3" s="1"/>
  <c r="C99" i="3"/>
  <c r="D99" i="3" s="1"/>
  <c r="C100" i="3"/>
  <c r="D100" i="3" s="1"/>
  <c r="C101" i="3"/>
  <c r="D101" i="3" s="1"/>
  <c r="C102" i="3"/>
  <c r="D102" i="3" s="1"/>
  <c r="C103" i="3"/>
  <c r="D103" i="3" s="1"/>
  <c r="C104" i="3"/>
  <c r="D104" i="3" s="1"/>
  <c r="C105" i="3"/>
  <c r="D105" i="3" s="1"/>
  <c r="C106" i="3"/>
  <c r="D106" i="3" s="1"/>
  <c r="C107" i="3"/>
  <c r="D107" i="3" s="1"/>
  <c r="C108" i="3"/>
  <c r="D108" i="3" s="1"/>
  <c r="C109" i="3"/>
  <c r="D109" i="3" s="1"/>
  <c r="C110" i="3"/>
  <c r="D110" i="3" s="1"/>
  <c r="C111" i="3"/>
  <c r="D111" i="3" s="1"/>
  <c r="C112" i="3"/>
  <c r="D112" i="3" s="1"/>
  <c r="C113" i="3"/>
  <c r="D113" i="3" s="1"/>
  <c r="C114" i="3"/>
  <c r="D114" i="3" s="1"/>
  <c r="C115" i="3"/>
  <c r="D115" i="3" s="1"/>
  <c r="C116" i="3"/>
  <c r="D116" i="3" s="1"/>
  <c r="C117" i="3"/>
  <c r="D117" i="3" s="1"/>
  <c r="C118" i="3"/>
  <c r="D118" i="3" s="1"/>
  <c r="C119" i="3"/>
  <c r="D119" i="3" s="1"/>
  <c r="C120" i="3"/>
  <c r="D120" i="3" s="1"/>
  <c r="C121" i="3"/>
  <c r="D121" i="3" s="1"/>
  <c r="C122" i="3"/>
  <c r="D122" i="3" s="1"/>
  <c r="C123" i="3"/>
  <c r="D123" i="3" s="1"/>
  <c r="C124" i="3"/>
  <c r="D124" i="3" s="1"/>
  <c r="C125" i="3"/>
  <c r="D125" i="3" s="1"/>
  <c r="C126" i="3"/>
  <c r="D126" i="3" s="1"/>
  <c r="C127" i="3"/>
  <c r="D127" i="3" s="1"/>
  <c r="C128" i="3"/>
  <c r="D128" i="3" s="1"/>
  <c r="C129" i="3"/>
  <c r="D129" i="3" s="1"/>
  <c r="C130" i="3"/>
  <c r="D130" i="3" s="1"/>
  <c r="C131" i="3"/>
  <c r="D131" i="3" s="1"/>
  <c r="C132" i="3"/>
  <c r="D132" i="3" s="1"/>
  <c r="C133" i="3"/>
  <c r="D133" i="3" s="1"/>
  <c r="C134" i="3"/>
  <c r="D134" i="3" s="1"/>
  <c r="C135" i="3"/>
  <c r="D135" i="3" s="1"/>
  <c r="C136" i="3"/>
  <c r="D136" i="3" s="1"/>
  <c r="C137" i="3"/>
  <c r="D137" i="3" s="1"/>
  <c r="C138" i="3"/>
  <c r="D138" i="3" s="1"/>
  <c r="C139" i="3"/>
  <c r="D139" i="3" s="1"/>
  <c r="C140" i="3"/>
  <c r="D140" i="3" s="1"/>
  <c r="C141" i="3"/>
  <c r="D141" i="3" s="1"/>
  <c r="C142" i="3"/>
  <c r="D142" i="3" s="1"/>
  <c r="C143" i="3"/>
  <c r="D143" i="3" s="1"/>
  <c r="C144" i="3"/>
  <c r="D144" i="3" s="1"/>
  <c r="C145" i="3"/>
  <c r="D145" i="3" s="1"/>
  <c r="C146" i="3"/>
  <c r="D146" i="3" s="1"/>
  <c r="C147" i="3"/>
  <c r="D147" i="3" s="1"/>
  <c r="C148" i="3"/>
  <c r="D148" i="3" s="1"/>
  <c r="C149" i="3"/>
  <c r="D149" i="3" s="1"/>
  <c r="C150" i="3"/>
  <c r="D150" i="3" s="1"/>
  <c r="C151" i="3"/>
  <c r="D151" i="3" s="1"/>
  <c r="C152" i="3"/>
  <c r="D152" i="3" s="1"/>
  <c r="C153" i="3"/>
  <c r="D153" i="3" s="1"/>
  <c r="C154" i="3"/>
  <c r="D154" i="3" s="1"/>
  <c r="C155" i="3"/>
  <c r="D155" i="3" s="1"/>
  <c r="C156" i="3"/>
  <c r="D156" i="3" s="1"/>
  <c r="C157" i="3"/>
  <c r="D157" i="3" s="1"/>
  <c r="C158" i="3"/>
  <c r="D158" i="3" s="1"/>
  <c r="C159" i="3"/>
  <c r="D159" i="3" s="1"/>
  <c r="C160" i="3"/>
  <c r="D160" i="3" s="1"/>
  <c r="C161" i="3"/>
  <c r="D161" i="3" s="1"/>
  <c r="C162" i="3"/>
  <c r="D162" i="3" s="1"/>
  <c r="C163" i="3"/>
  <c r="D163" i="3" s="1"/>
  <c r="C164" i="3"/>
  <c r="D164" i="3" s="1"/>
  <c r="C165" i="3"/>
  <c r="D165" i="3" s="1"/>
  <c r="C166" i="3"/>
  <c r="D166" i="3" s="1"/>
  <c r="C167" i="3"/>
  <c r="D167" i="3" s="1"/>
  <c r="C168" i="3"/>
  <c r="D168" i="3" s="1"/>
  <c r="C169" i="3"/>
  <c r="D169" i="3" s="1"/>
  <c r="C170" i="3"/>
  <c r="D170" i="3" s="1"/>
  <c r="C171" i="3"/>
  <c r="D171" i="3" s="1"/>
  <c r="C172" i="3"/>
  <c r="D172" i="3" s="1"/>
  <c r="C173" i="3"/>
  <c r="D173" i="3" s="1"/>
  <c r="C174" i="3"/>
  <c r="D174" i="3" s="1"/>
  <c r="C175" i="3"/>
  <c r="D175" i="3" s="1"/>
  <c r="C176" i="3"/>
  <c r="D176" i="3" s="1"/>
  <c r="C177" i="3"/>
  <c r="D177" i="3" s="1"/>
  <c r="C178" i="3"/>
  <c r="D178" i="3" s="1"/>
  <c r="C179" i="3"/>
  <c r="D179" i="3" s="1"/>
  <c r="C180" i="3"/>
  <c r="D180" i="3" s="1"/>
  <c r="C181" i="3"/>
  <c r="D181" i="3" s="1"/>
  <c r="C182" i="3"/>
  <c r="D182" i="3" s="1"/>
  <c r="C183" i="3"/>
  <c r="D183" i="3" s="1"/>
  <c r="C184" i="3"/>
  <c r="D184" i="3" s="1"/>
  <c r="C185" i="3"/>
  <c r="D185" i="3" s="1"/>
  <c r="C186" i="3"/>
  <c r="D186" i="3" s="1"/>
  <c r="C187" i="3"/>
  <c r="D187" i="3" s="1"/>
  <c r="C188" i="3"/>
  <c r="D188" i="3" s="1"/>
  <c r="C189" i="3"/>
  <c r="D189" i="3" s="1"/>
  <c r="C190" i="3"/>
  <c r="D190" i="3" s="1"/>
  <c r="C191" i="3"/>
  <c r="D191" i="3" s="1"/>
  <c r="C192" i="3"/>
  <c r="D192" i="3" s="1"/>
  <c r="C193" i="3"/>
  <c r="D193" i="3" s="1"/>
  <c r="C194" i="3"/>
  <c r="D194" i="3" s="1"/>
  <c r="C195" i="3"/>
  <c r="D195" i="3" s="1"/>
  <c r="C196" i="3"/>
  <c r="D196" i="3" s="1"/>
  <c r="C197" i="3"/>
  <c r="D197" i="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B9A0F42-7387-4355-9AEE-7E38BC064E49}" name="Query - TimeSeries" description="Connection to the 'TimeSeries' query in the workbook." type="100" refreshedVersion="8" minRefreshableVersion="5">
    <extLst>
      <ext xmlns:x15="http://schemas.microsoft.com/office/spreadsheetml/2010/11/main" uri="{DE250136-89BD-433C-8126-D09CA5730AF9}">
        <x15:connection id="3f708b82-ee00-42ef-9a6f-12a847e1fdee"/>
      </ext>
    </extLst>
  </connection>
  <connection id="2" xr16:uid="{21218D8E-B285-49EB-AD2E-B4DA816A2B9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
    <s v="ThisWorkbookDataModel"/>
    <s v="{[TimeSeries].[Decade_of_Birth].&amp;[1930],[TimeSeries].[Decade_of_Birth].&amp;[1940],[TimeSeries].[Decade_of_Birth].&amp;[1950],[TimeSeries].[Decade_of_Birth].&amp;[1960]}"/>
    <s v="{[TimeSeries].[dose].&amp;[2]}"/>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<sst xmlns="http://schemas.openxmlformats.org/spreadsheetml/2006/main" count="43" uniqueCount="31">
  <si>
    <t>dose</t>
  </si>
  <si>
    <t>Decade_of_Birth</t>
  </si>
  <si>
    <t>Row Labels</t>
  </si>
  <si>
    <t>Grand Total</t>
  </si>
  <si>
    <t>Column Labels</t>
  </si>
  <si>
    <t>Sum of h(t)</t>
  </si>
  <si>
    <t>(Multiple Items)</t>
  </si>
  <si>
    <t>Be sure to always pick a SINGLE dose because there are data drop off issues for later doses which affects the sum.</t>
  </si>
  <si>
    <t>It is OK to pick a range of decade of birth because we can add the hazards</t>
  </si>
  <si>
    <t xml:space="preserve">Event time series. This is a graph of h(t) for the selected Age ranges relative to the time of the shot. </t>
  </si>
  <si>
    <t>You can CLEARLY see dynamic HVE (the first 2 dots).</t>
  </si>
  <si>
    <t>2</t>
  </si>
  <si>
    <t>Dose # is when the clock starts</t>
  </si>
  <si>
    <t>The x-axis is weeks since that dose was given</t>
  </si>
  <si>
    <t>y axis is h(t)</t>
  </si>
  <si>
    <r>
      <t>Note: MR peaks can be seasonal peaks or COVID waves</t>
    </r>
    <r>
      <rPr>
        <b/>
        <sz val="11"/>
        <color theme="1"/>
        <rFont val="Calibri"/>
        <family val="2"/>
        <scheme val="minor"/>
      </rPr>
      <t xml:space="preserve"> since vaccine doses were given over a NARROW time window</t>
    </r>
  </si>
  <si>
    <t>Taken alone other things could explain this. But when you add the CMR charts showing steady increase in vaccinated while MR of unvaccinated is falling (background effects), this is hard to explain.</t>
  </si>
  <si>
    <t>Note that there was a lot going on because vaccination happened as COVID was progressing. But soon after vaccination was a quiet mortality period when the vaccinated rose.</t>
  </si>
  <si>
    <t>Snapshots for ALL ages (makes curves noisier esp with 1929) below:</t>
  </si>
  <si>
    <t>This is the adjusted h(t) for those born 193x to 195x.</t>
  </si>
  <si>
    <t>We use .00157 adjustment which is 8.5% per annum standard h(t) increase</t>
  </si>
  <si>
    <t>h(t) weekly adjust</t>
  </si>
  <si>
    <t>week</t>
  </si>
  <si>
    <t>adj h(t)</t>
  </si>
  <si>
    <t>So we adjusted OUT the normal h(t) increase so we can see vaccination increases baseline mortality</t>
  </si>
  <si>
    <t xml:space="preserve">for 20 weeks after the shot and then it started declining </t>
  </si>
  <si>
    <t>This shows a very troubling h(t) increase for 20 weeks post shot. Verified in KCOR_CMR for the unvaccinated it was not background effect.</t>
  </si>
  <si>
    <t>This is a smoking gun of vaccine harm. Dose 1 had a STRONG mortality peak right after the shot for ALL ages. Dose 2 was a more gradual mortality increase.</t>
  </si>
  <si>
    <t xml:space="preserve">The slope break ~20 weeks post-dose aligned on weeks-since-vax is the most provocative feature because it's aligned with the shots timing, </t>
  </si>
  <si>
    <t>the unvaccinated don't experience it, and Dose 3 shows the same timing.</t>
  </si>
  <si>
    <t>If the vaccine is as safe as a placebo, that can't happen.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</si>
</sst>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0" fontId="0" fillId="0" borderId="0" xfId="0" applyNumberFormat="1"/>
    <xf numFmtId="0" fontId="1" fillId="0" borderId="0" xfId="0" applyFont="1"/>
    <xf numFmtId="0" fontId="1" fillId="0" borderId="0" xfId="0" applyFon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powerPivotData" Target="model/item.data"/><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sheetMetadata" Target="metadata.xml"/><Relationship Id="rId5" Type="http://schemas.openxmlformats.org/officeDocument/2006/relationships/pivotCacheDefinition" Target="pivotCache/pivotCacheDefinition2.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'adjusted h(t)'!$D$4</c:f>
              <c:strCache>
                <c:ptCount val="1"/>
                <c:pt idx="0">
                  <c:v>adj h(t)</c:v>
                </c:pt>
              </c:strCache>
            </c:strRef>
          </c:tx>
          <c:spPr>
            <a:ln w="28575" cap="rnd">
              <a:solidFill>
                <a:schemeClr val="accent1"/>
              </a:solidFill>
              <a:round/>
            </a:ln>
            <a:effectLst/>
          </c:spPr>
          <c:marker>
            <c:symbol val="none"/>
          </c:marker>
          <c:cat>
            <c:numRef>
              <c:f>'adjusted h(t)'!$C$5:$C$197</c:f>
              <c:numCache>
                <c:formatCode>General</c:formatCode>
                <c:ptCount val="19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pt idx="188">
                  <c:v>188</c:v>
                </c:pt>
                <c:pt idx="189">
                  <c:v>189</c:v>
                </c:pt>
                <c:pt idx="190">
                  <c:v>190</c:v>
                </c:pt>
                <c:pt idx="191">
                  <c:v>191</c:v>
                </c:pt>
                <c:pt idx="192">
                  <c:v>192</c:v>
                </c:pt>
              </c:numCache>
            </c:numRef>
          </c:cat>
          <c:val>
            <c:numRef>
              <c:f>'adjusted h(t)'!$D$5:$D$197</c:f>
              <c:numCache>
                <c:formatCode>General</c:formatCode>
                <c:ptCount val="193"/>
                <c:pt idx="0">
                  <c:v>6.2378563193740385E-4</c:v>
                </c:pt>
                <c:pt idx="1">
                  <c:v>1.4035760176044558E-3</c:v>
                </c:pt>
                <c:pt idx="2">
                  <c:v>1.701379465796954E-3</c:v>
                </c:pt>
                <c:pt idx="3">
                  <c:v>1.9146863994476354E-3</c:v>
                </c:pt>
                <c:pt idx="4">
                  <c:v>2.0031121920045785E-3</c:v>
                </c:pt>
                <c:pt idx="5">
                  <c:v>1.9589023617138136E-3</c:v>
                </c:pt>
                <c:pt idx="6">
                  <c:v>2.0906563346003398E-3</c:v>
                </c:pt>
                <c:pt idx="7">
                  <c:v>2.0684455551935239E-3</c:v>
                </c:pt>
                <c:pt idx="8">
                  <c:v>2.1664720501124337E-3</c:v>
                </c:pt>
                <c:pt idx="9">
                  <c:v>2.2182613229988495E-3</c:v>
                </c:pt>
                <c:pt idx="10">
                  <c:v>2.2140422382504114E-3</c:v>
                </c:pt>
                <c:pt idx="11">
                  <c:v>2.3324511866714423E-3</c:v>
                </c:pt>
                <c:pt idx="12">
                  <c:v>2.3658576424689247E-3</c:v>
                </c:pt>
                <c:pt idx="13">
                  <c:v>2.28343535970706E-3</c:v>
                </c:pt>
                <c:pt idx="14">
                  <c:v>2.4171800695228945E-3</c:v>
                </c:pt>
                <c:pt idx="15">
                  <c:v>2.4084513910025145E-3</c:v>
                </c:pt>
                <c:pt idx="16">
                  <c:v>2.3247114682502824E-3</c:v>
                </c:pt>
                <c:pt idx="17">
                  <c:v>2.4690077611001257E-3</c:v>
                </c:pt>
                <c:pt idx="18">
                  <c:v>2.5702481341306205E-3</c:v>
                </c:pt>
                <c:pt idx="19">
                  <c:v>2.4497933296796911E-3</c:v>
                </c:pt>
                <c:pt idx="20">
                  <c:v>2.7622036273247108E-3</c:v>
                </c:pt>
                <c:pt idx="21">
                  <c:v>2.5885362538054756E-3</c:v>
                </c:pt>
                <c:pt idx="22">
                  <c:v>2.6082872292419752E-3</c:v>
                </c:pt>
                <c:pt idx="23">
                  <c:v>2.6674332093373585E-3</c:v>
                </c:pt>
                <c:pt idx="24">
                  <c:v>2.7244040891429571E-3</c:v>
                </c:pt>
                <c:pt idx="25">
                  <c:v>2.7658971443989743E-3</c:v>
                </c:pt>
                <c:pt idx="26">
                  <c:v>2.8837389050592904E-3</c:v>
                </c:pt>
                <c:pt idx="27">
                  <c:v>2.9746047750019091E-3</c:v>
                </c:pt>
                <c:pt idx="28">
                  <c:v>2.8889511775005974E-3</c:v>
                </c:pt>
                <c:pt idx="29">
                  <c:v>2.7865802818646803E-3</c:v>
                </c:pt>
                <c:pt idx="30">
                  <c:v>3.0288043774481005E-3</c:v>
                </c:pt>
                <c:pt idx="31">
                  <c:v>2.7773621552503085E-3</c:v>
                </c:pt>
                <c:pt idx="32">
                  <c:v>3.0558750927232496E-3</c:v>
                </c:pt>
                <c:pt idx="33">
                  <c:v>3.0571733129683381E-3</c:v>
                </c:pt>
                <c:pt idx="34">
                  <c:v>3.1120168166276023E-3</c:v>
                </c:pt>
                <c:pt idx="35">
                  <c:v>3.010952077204448E-3</c:v>
                </c:pt>
                <c:pt idx="36">
                  <c:v>3.0716824782691513E-3</c:v>
                </c:pt>
                <c:pt idx="37">
                  <c:v>2.9954022935975632E-3</c:v>
                </c:pt>
                <c:pt idx="38">
                  <c:v>3.1691643596676402E-3</c:v>
                </c:pt>
                <c:pt idx="39">
                  <c:v>3.0130691373705543E-3</c:v>
                </c:pt>
                <c:pt idx="40">
                  <c:v>3.073688159136495E-3</c:v>
                </c:pt>
                <c:pt idx="41">
                  <c:v>2.902049242064028E-3</c:v>
                </c:pt>
                <c:pt idx="42">
                  <c:v>2.96887789118598E-3</c:v>
                </c:pt>
                <c:pt idx="43">
                  <c:v>2.9610916341501346E-3</c:v>
                </c:pt>
                <c:pt idx="44">
                  <c:v>2.686415105548616E-3</c:v>
                </c:pt>
                <c:pt idx="45">
                  <c:v>2.7411412007357838E-3</c:v>
                </c:pt>
                <c:pt idx="46">
                  <c:v>2.9088450589949289E-3</c:v>
                </c:pt>
                <c:pt idx="47">
                  <c:v>2.747550500608726E-3</c:v>
                </c:pt>
                <c:pt idx="48">
                  <c:v>2.9292455125676476E-3</c:v>
                </c:pt>
                <c:pt idx="49">
                  <c:v>2.7666279173986035E-3</c:v>
                </c:pt>
                <c:pt idx="50">
                  <c:v>2.8695501429692291E-3</c:v>
                </c:pt>
                <c:pt idx="51">
                  <c:v>2.6808071832334981E-3</c:v>
                </c:pt>
                <c:pt idx="52">
                  <c:v>2.7347202546573611E-3</c:v>
                </c:pt>
                <c:pt idx="53">
                  <c:v>2.9810631805917884E-3</c:v>
                </c:pt>
                <c:pt idx="54">
                  <c:v>2.8144722483003123E-3</c:v>
                </c:pt>
                <c:pt idx="55">
                  <c:v>2.9955766453387584E-3</c:v>
                </c:pt>
                <c:pt idx="56">
                  <c:v>2.6878260456298861E-3</c:v>
                </c:pt>
                <c:pt idx="57">
                  <c:v>2.7718751428226275E-3</c:v>
                </c:pt>
                <c:pt idx="58">
                  <c:v>2.9772062238093725E-3</c:v>
                </c:pt>
                <c:pt idx="59">
                  <c:v>2.7671953518033157E-3</c:v>
                </c:pt>
                <c:pt idx="60">
                  <c:v>2.8272998763311462E-3</c:v>
                </c:pt>
                <c:pt idx="61">
                  <c:v>2.7705454887829301E-3</c:v>
                </c:pt>
                <c:pt idx="62">
                  <c:v>2.807596980441255E-3</c:v>
                </c:pt>
                <c:pt idx="63">
                  <c:v>2.7558036030940745E-3</c:v>
                </c:pt>
                <c:pt idx="64">
                  <c:v>2.7438685778054168E-3</c:v>
                </c:pt>
                <c:pt idx="65">
                  <c:v>2.7003017258106572E-3</c:v>
                </c:pt>
                <c:pt idx="66">
                  <c:v>2.6644249939413514E-3</c:v>
                </c:pt>
                <c:pt idx="67">
                  <c:v>2.7336299764362955E-3</c:v>
                </c:pt>
                <c:pt idx="68">
                  <c:v>2.8603034001135437E-3</c:v>
                </c:pt>
                <c:pt idx="69">
                  <c:v>2.8018512593527734E-3</c:v>
                </c:pt>
                <c:pt idx="70">
                  <c:v>2.7770379486918807E-3</c:v>
                </c:pt>
                <c:pt idx="71">
                  <c:v>2.8588431040243419E-3</c:v>
                </c:pt>
                <c:pt idx="72">
                  <c:v>2.9002914340597961E-3</c:v>
                </c:pt>
                <c:pt idx="73">
                  <c:v>2.9282365856025342E-3</c:v>
                </c:pt>
                <c:pt idx="74">
                  <c:v>2.7259864993768633E-3</c:v>
                </c:pt>
                <c:pt idx="75">
                  <c:v>2.9577626231345471E-3</c:v>
                </c:pt>
                <c:pt idx="76">
                  <c:v>2.9273501799723764E-3</c:v>
                </c:pt>
                <c:pt idx="77">
                  <c:v>3.0065469236248946E-3</c:v>
                </c:pt>
                <c:pt idx="78">
                  <c:v>3.1089280432332615E-3</c:v>
                </c:pt>
                <c:pt idx="79">
                  <c:v>3.1465793276951371E-3</c:v>
                </c:pt>
                <c:pt idx="80">
                  <c:v>3.0640016453358145E-3</c:v>
                </c:pt>
                <c:pt idx="81">
                  <c:v>3.1909786114620699E-3</c:v>
                </c:pt>
                <c:pt idx="82">
                  <c:v>3.324350524353684E-3</c:v>
                </c:pt>
                <c:pt idx="83">
                  <c:v>3.1056488636501821E-3</c:v>
                </c:pt>
                <c:pt idx="84">
                  <c:v>3.1063257559179242E-3</c:v>
                </c:pt>
                <c:pt idx="85">
                  <c:v>2.8769384980431869E-3</c:v>
                </c:pt>
                <c:pt idx="86">
                  <c:v>2.9789002308264522E-3</c:v>
                </c:pt>
                <c:pt idx="87">
                  <c:v>3.2893536643564185E-3</c:v>
                </c:pt>
                <c:pt idx="88">
                  <c:v>3.2256252745090988E-3</c:v>
                </c:pt>
                <c:pt idx="89">
                  <c:v>3.0182248830637288E-3</c:v>
                </c:pt>
                <c:pt idx="90">
                  <c:v>3.1662168001011302E-3</c:v>
                </c:pt>
                <c:pt idx="91">
                  <c:v>3.2920480470549009E-3</c:v>
                </c:pt>
                <c:pt idx="92">
                  <c:v>3.2298578714314301E-3</c:v>
                </c:pt>
                <c:pt idx="93">
                  <c:v>3.1110666005709363E-3</c:v>
                </c:pt>
                <c:pt idx="94">
                  <c:v>3.1088245864106527E-3</c:v>
                </c:pt>
                <c:pt idx="95">
                  <c:v>3.1697858396619949E-3</c:v>
                </c:pt>
                <c:pt idx="96">
                  <c:v>3.2603464119819927E-3</c:v>
                </c:pt>
                <c:pt idx="97">
                  <c:v>3.1788470760348016E-3</c:v>
                </c:pt>
                <c:pt idx="98">
                  <c:v>3.0983456764649862E-3</c:v>
                </c:pt>
                <c:pt idx="99">
                  <c:v>2.9976095556824211E-3</c:v>
                </c:pt>
                <c:pt idx="100">
                  <c:v>3.0693780124531529E-3</c:v>
                </c:pt>
                <c:pt idx="101">
                  <c:v>2.7966065723079377E-3</c:v>
                </c:pt>
                <c:pt idx="102">
                  <c:v>2.7391016310797903E-3</c:v>
                </c:pt>
                <c:pt idx="103">
                  <c:v>2.8275611258763399E-3</c:v>
                </c:pt>
                <c:pt idx="104">
                  <c:v>2.7769747193696803E-3</c:v>
                </c:pt>
                <c:pt idx="105">
                  <c:v>2.6809987252181429E-3</c:v>
                </c:pt>
                <c:pt idx="106">
                  <c:v>2.7608589838349971E-3</c:v>
                </c:pt>
                <c:pt idx="107">
                  <c:v>2.6494536537416077E-3</c:v>
                </c:pt>
                <c:pt idx="108">
                  <c:v>2.7810387673231612E-3</c:v>
                </c:pt>
                <c:pt idx="109">
                  <c:v>2.7641847561112637E-3</c:v>
                </c:pt>
                <c:pt idx="110">
                  <c:v>2.7062356419134733E-3</c:v>
                </c:pt>
                <c:pt idx="111">
                  <c:v>2.8067002345548006E-3</c:v>
                </c:pt>
                <c:pt idx="112">
                  <c:v>2.6052345597396631E-3</c:v>
                </c:pt>
                <c:pt idx="113">
                  <c:v>2.6393913331352829E-3</c:v>
                </c:pt>
                <c:pt idx="114">
                  <c:v>2.4185972093296263E-3</c:v>
                </c:pt>
                <c:pt idx="115">
                  <c:v>2.6463285736979059E-3</c:v>
                </c:pt>
                <c:pt idx="116">
                  <c:v>2.7599039294293002E-3</c:v>
                </c:pt>
                <c:pt idx="117">
                  <c:v>2.6764818910455634E-3</c:v>
                </c:pt>
                <c:pt idx="118">
                  <c:v>2.5978821936656214E-3</c:v>
                </c:pt>
                <c:pt idx="119">
                  <c:v>2.7435087981813899E-3</c:v>
                </c:pt>
                <c:pt idx="120">
                  <c:v>2.7768805453666167E-3</c:v>
                </c:pt>
                <c:pt idx="121">
                  <c:v>2.4530522909200821E-3</c:v>
                </c:pt>
                <c:pt idx="122">
                  <c:v>2.4946457985514313E-3</c:v>
                </c:pt>
                <c:pt idx="123">
                  <c:v>2.8358170242707157E-3</c:v>
                </c:pt>
                <c:pt idx="124">
                  <c:v>2.9351443358175862E-3</c:v>
                </c:pt>
                <c:pt idx="125">
                  <c:v>2.510349657600699E-3</c:v>
                </c:pt>
                <c:pt idx="126">
                  <c:v>2.8702769525449871E-3</c:v>
                </c:pt>
                <c:pt idx="127">
                  <c:v>2.7289333476305452E-3</c:v>
                </c:pt>
                <c:pt idx="128">
                  <c:v>2.7718207046648676E-3</c:v>
                </c:pt>
                <c:pt idx="129">
                  <c:v>2.6616244005647069E-3</c:v>
                </c:pt>
                <c:pt idx="130">
                  <c:v>2.6428827938492026E-3</c:v>
                </c:pt>
                <c:pt idx="131">
                  <c:v>2.8168792358545624E-3</c:v>
                </c:pt>
                <c:pt idx="132">
                  <c:v>2.807301785018848E-3</c:v>
                </c:pt>
                <c:pt idx="133">
                  <c:v>2.7724615055746723E-3</c:v>
                </c:pt>
                <c:pt idx="134">
                  <c:v>2.9404501430724222E-3</c:v>
                </c:pt>
                <c:pt idx="135">
                  <c:v>2.7748487316824246E-3</c:v>
                </c:pt>
                <c:pt idx="136">
                  <c:v>2.7790821790840644E-3</c:v>
                </c:pt>
                <c:pt idx="137">
                  <c:v>3.0355123384254905E-3</c:v>
                </c:pt>
                <c:pt idx="138">
                  <c:v>2.9254370690785002E-3</c:v>
                </c:pt>
                <c:pt idx="139">
                  <c:v>2.8878312189071975E-3</c:v>
                </c:pt>
                <c:pt idx="140">
                  <c:v>2.943152695232756E-3</c:v>
                </c:pt>
                <c:pt idx="141">
                  <c:v>3.0334766823543495E-3</c:v>
                </c:pt>
                <c:pt idx="142">
                  <c:v>3.032831234730421E-3</c:v>
                </c:pt>
                <c:pt idx="143">
                  <c:v>2.9282871357710761E-3</c:v>
                </c:pt>
                <c:pt idx="144">
                  <c:v>2.7876630768377711E-3</c:v>
                </c:pt>
                <c:pt idx="145">
                  <c:v>2.7934218372712687E-3</c:v>
                </c:pt>
                <c:pt idx="146">
                  <c:v>2.9483133054966971E-3</c:v>
                </c:pt>
                <c:pt idx="147">
                  <c:v>2.7121327626871638E-3</c:v>
                </c:pt>
                <c:pt idx="148">
                  <c:v>2.6882055358870365E-3</c:v>
                </c:pt>
                <c:pt idx="149">
                  <c:v>2.6157222435801895E-3</c:v>
                </c:pt>
                <c:pt idx="150">
                  <c:v>2.7444196586326225E-3</c:v>
                </c:pt>
                <c:pt idx="151">
                  <c:v>2.5286006070063456E-3</c:v>
                </c:pt>
                <c:pt idx="152">
                  <c:v>2.6226682293948793E-3</c:v>
                </c:pt>
                <c:pt idx="153">
                  <c:v>2.5079010246702809E-3</c:v>
                </c:pt>
                <c:pt idx="154">
                  <c:v>2.598943067176754E-3</c:v>
                </c:pt>
                <c:pt idx="155">
                  <c:v>2.5896309891238214E-3</c:v>
                </c:pt>
                <c:pt idx="156">
                  <c:v>2.4164135900346406E-3</c:v>
                </c:pt>
                <c:pt idx="157">
                  <c:v>2.5247477018472825E-3</c:v>
                </c:pt>
                <c:pt idx="158">
                  <c:v>2.4005198029628783E-3</c:v>
                </c:pt>
                <c:pt idx="159">
                  <c:v>2.3850878487411604E-3</c:v>
                </c:pt>
                <c:pt idx="160">
                  <c:v>2.3493939267808166E-3</c:v>
                </c:pt>
                <c:pt idx="161">
                  <c:v>2.1096846044144427E-3</c:v>
                </c:pt>
                <c:pt idx="162">
                  <c:v>2.3529329586876799E-3</c:v>
                </c:pt>
                <c:pt idx="163">
                  <c:v>2.3513457813461531E-3</c:v>
                </c:pt>
                <c:pt idx="164">
                  <c:v>2.0868653297591946E-3</c:v>
                </c:pt>
                <c:pt idx="165">
                  <c:v>2.1994649840115757E-3</c:v>
                </c:pt>
                <c:pt idx="166">
                  <c:v>2.0268629425126187E-3</c:v>
                </c:pt>
                <c:pt idx="167">
                  <c:v>1.861008852319782E-3</c:v>
                </c:pt>
                <c:pt idx="168">
                  <c:v>1.9191023739524055E-3</c:v>
                </c:pt>
                <c:pt idx="169">
                  <c:v>1.8078842052983532E-3</c:v>
                </c:pt>
                <c:pt idx="170">
                  <c:v>1.7589308079519665E-3</c:v>
                </c:pt>
                <c:pt idx="171">
                  <c:v>1.5902217788687019E-3</c:v>
                </c:pt>
                <c:pt idx="172">
                  <c:v>1.5770979559658583E-3</c:v>
                </c:pt>
                <c:pt idx="173">
                  <c:v>1.4198488821208547E-3</c:v>
                </c:pt>
                <c:pt idx="174">
                  <c:v>1.4200706127969237E-3</c:v>
                </c:pt>
                <c:pt idx="175">
                  <c:v>1.2855128700808424E-3</c:v>
                </c:pt>
                <c:pt idx="176">
                  <c:v>1.1601997730359347E-3</c:v>
                </c:pt>
                <c:pt idx="177">
                  <c:v>1.0586905202032092E-3</c:v>
                </c:pt>
                <c:pt idx="178">
                  <c:v>9.3764251904789595E-4</c:v>
                </c:pt>
                <c:pt idx="179">
                  <c:v>9.7404983909576417E-4</c:v>
                </c:pt>
                <c:pt idx="180">
                  <c:v>9.5630058251416081E-4</c:v>
                </c:pt>
                <c:pt idx="181">
                  <c:v>7.1167592213754909E-4</c:v>
                </c:pt>
                <c:pt idx="182">
                  <c:v>5.5086429005573863E-4</c:v>
                </c:pt>
                <c:pt idx="183">
                  <c:v>6.0260929910008632E-4</c:v>
                </c:pt>
                <c:pt idx="184">
                  <c:v>3.9601770242064159E-4</c:v>
                </c:pt>
                <c:pt idx="185">
                  <c:v>4.0750118345150973E-4</c:v>
                </c:pt>
                <c:pt idx="186">
                  <c:v>2.8752552707532231E-4</c:v>
                </c:pt>
                <c:pt idx="187">
                  <c:v>1.6410985496883998E-4</c:v>
                </c:pt>
                <c:pt idx="188">
                  <c:v>1.3537517425378262E-4</c:v>
                </c:pt>
                <c:pt idx="189">
                  <c:v>9.2140544819394225E-5</c:v>
                </c:pt>
                <c:pt idx="190">
                  <c:v>3.6819271405603796E-5</c:v>
                </c:pt>
                <c:pt idx="191">
                  <c:v>1.7380756355103528E-5</c:v>
                </c:pt>
                <c:pt idx="192">
                  <c:v>1.7842857092097259E-6</c:v>
                </c:pt>
              </c:numCache>
            </c:numRef>
          </c:val>
          <c:smooth val="0"/>
          <c:extLst>
            <c:ext xmlns:c16="http://schemas.microsoft.com/office/drawing/2014/chart" uri="{C3380CC4-5D6E-409C-BE32-E72D297353CC}">
              <c16:uniqueId val="{00000000-EC54-49D7-B150-23F0E7354257}"/>
            </c:ext>
          </c:extLst>
        </c:ser>
        <c:dLbls>
          <c:showLegendKey val="0"/>
          <c:showVal val="0"/>
          <c:showCatName val="0"/>
          <c:showSerName val="0"/>
          <c:showPercent val="0"/>
          <c:showBubbleSize val="0"/>
        </c:dLbls>
        <c:smooth val="0"/>
        <c:axId val="1396933312"/>
        <c:axId val="1396947712"/>
      </c:lineChart>
      <c:catAx>
        <c:axId val="13969333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6947712"/>
        <c:crosses val="autoZero"/>
        <c:auto val="1"/>
        <c:lblAlgn val="ctr"/>
        <c:lblOffset val="100"/>
        <c:tickMarkSkip val="3"/>
        <c:noMultiLvlLbl val="0"/>
      </c:catAx>
      <c:valAx>
        <c:axId val="1396947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6933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[KCOR_ts_analysis_reference.xlsx]all on one plot!PivotTable2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h(t)</a:t>
            </a:r>
            <a:r>
              <a:rPr lang="en-US" baseline="0"/>
              <a:t> for Dose 1 and 2 for 193x-196x. That gap after getting the shot is repeated in EACH individual age group.</a:t>
            </a:r>
          </a:p>
          <a:p>
            <a:pPr>
              <a:defRPr/>
            </a:pPr>
            <a:r>
              <a:rPr lang="en-US" baseline="0"/>
              <a:t>This shows the shot #1 effect was devastating.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'all on one plot'!$B$4:$B$5</c:f>
              <c:strCache>
                <c:ptCount val="1"/>
                <c:pt idx="0">
                  <c:v>1</c:v>
                </c:pt>
              </c:strCache>
            </c:strRef>
          </c:tx>
          <c:spPr>
            <a:ln w="28575" cap="rnd">
              <a:solidFill>
                <a:schemeClr val="accent1"/>
              </a:solidFill>
              <a:round/>
            </a:ln>
            <a:effectLst/>
          </c:spPr>
          <c:marker>
            <c:symbol val="none"/>
          </c:marker>
          <c:cat>
            <c:strRef>
              <c:f>'all on one plot'!$A$6:$A$207</c:f>
              <c:strCache>
                <c:ptCount val="20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pt idx="188">
                  <c:v>188</c:v>
                </c:pt>
                <c:pt idx="189">
                  <c:v>189</c:v>
                </c:pt>
                <c:pt idx="190">
                  <c:v>190</c:v>
                </c:pt>
                <c:pt idx="191">
                  <c:v>191</c:v>
                </c:pt>
                <c:pt idx="192">
                  <c:v>192</c:v>
                </c:pt>
                <c:pt idx="193">
                  <c:v>193</c:v>
                </c:pt>
                <c:pt idx="194">
                  <c:v>194</c:v>
                </c:pt>
                <c:pt idx="195">
                  <c:v>195</c:v>
                </c:pt>
                <c:pt idx="196">
                  <c:v>196</c:v>
                </c:pt>
                <c:pt idx="197">
                  <c:v>197</c:v>
                </c:pt>
                <c:pt idx="198">
                  <c:v>198</c:v>
                </c:pt>
                <c:pt idx="199">
                  <c:v>199</c:v>
                </c:pt>
                <c:pt idx="200">
                  <c:v>200</c:v>
                </c:pt>
              </c:strCache>
            </c:strRef>
          </c:cat>
          <c:val>
            <c:numRef>
              <c:f>'all on one plot'!$B$6:$B$207</c:f>
              <c:numCache>
                <c:formatCode>General</c:formatCode>
                <c:ptCount val="201"/>
                <c:pt idx="0">
                  <c:v>5.4222161202771894E-4</c:v>
                </c:pt>
                <c:pt idx="1">
                  <c:v>1.7077078771912443E-3</c:v>
                </c:pt>
                <c:pt idx="2">
                  <c:v>2.3249433704723914E-3</c:v>
                </c:pt>
                <c:pt idx="3">
                  <c:v>2.8049441819114019E-3</c:v>
                </c:pt>
                <c:pt idx="4">
                  <c:v>2.6525923377566461E-3</c:v>
                </c:pt>
                <c:pt idx="5">
                  <c:v>2.461616130438991E-3</c:v>
                </c:pt>
                <c:pt idx="6">
                  <c:v>2.585136391478597E-3</c:v>
                </c:pt>
                <c:pt idx="7">
                  <c:v>2.3175515841655121E-3</c:v>
                </c:pt>
                <c:pt idx="8">
                  <c:v>2.3305441580713572E-3</c:v>
                </c:pt>
                <c:pt idx="9">
                  <c:v>2.2864959012102682E-3</c:v>
                </c:pt>
                <c:pt idx="10">
                  <c:v>2.2606483446719161E-3</c:v>
                </c:pt>
                <c:pt idx="11">
                  <c:v>2.345148284604354E-3</c:v>
                </c:pt>
                <c:pt idx="12">
                  <c:v>2.2859774927373325E-3</c:v>
                </c:pt>
                <c:pt idx="13">
                  <c:v>2.3393267168300225E-3</c:v>
                </c:pt>
                <c:pt idx="14">
                  <c:v>2.4503139872678586E-3</c:v>
                </c:pt>
                <c:pt idx="15">
                  <c:v>2.4648309769665822E-3</c:v>
                </c:pt>
                <c:pt idx="16">
                  <c:v>2.5257864898237483E-3</c:v>
                </c:pt>
                <c:pt idx="17">
                  <c:v>2.5153126679610823E-3</c:v>
                </c:pt>
                <c:pt idx="18">
                  <c:v>2.5875054209850896E-3</c:v>
                </c:pt>
                <c:pt idx="19">
                  <c:v>2.5243935464588818E-3</c:v>
                </c:pt>
                <c:pt idx="20">
                  <c:v>2.5086843002901896E-3</c:v>
                </c:pt>
                <c:pt idx="21">
                  <c:v>2.6907778544544687E-3</c:v>
                </c:pt>
                <c:pt idx="22">
                  <c:v>2.615772351278921E-3</c:v>
                </c:pt>
                <c:pt idx="23">
                  <c:v>2.6548935722555851E-3</c:v>
                </c:pt>
                <c:pt idx="24">
                  <c:v>2.7002096611931483E-3</c:v>
                </c:pt>
                <c:pt idx="25">
                  <c:v>2.7612893787406687E-3</c:v>
                </c:pt>
                <c:pt idx="26">
                  <c:v>2.6342852124646311E-3</c:v>
                </c:pt>
                <c:pt idx="27">
                  <c:v>2.6793255985830032E-3</c:v>
                </c:pt>
                <c:pt idx="28">
                  <c:v>2.9064503445178835E-3</c:v>
                </c:pt>
                <c:pt idx="29">
                  <c:v>2.7205340221175068E-3</c:v>
                </c:pt>
                <c:pt idx="30">
                  <c:v>2.9103583928964043E-3</c:v>
                </c:pt>
                <c:pt idx="31">
                  <c:v>3.0028284178598673E-3</c:v>
                </c:pt>
                <c:pt idx="32">
                  <c:v>3.1021096446044536E-3</c:v>
                </c:pt>
                <c:pt idx="33">
                  <c:v>3.2202779085573042E-3</c:v>
                </c:pt>
                <c:pt idx="34">
                  <c:v>3.2498678639576572E-3</c:v>
                </c:pt>
                <c:pt idx="35">
                  <c:v>3.3347873966165431E-3</c:v>
                </c:pt>
                <c:pt idx="36">
                  <c:v>3.4076701656090185E-3</c:v>
                </c:pt>
                <c:pt idx="37">
                  <c:v>3.2928108839971383E-3</c:v>
                </c:pt>
                <c:pt idx="38">
                  <c:v>3.4233723973066078E-3</c:v>
                </c:pt>
                <c:pt idx="39">
                  <c:v>3.3823726248228166E-3</c:v>
                </c:pt>
                <c:pt idx="40">
                  <c:v>3.4347238516640572E-3</c:v>
                </c:pt>
                <c:pt idx="41">
                  <c:v>3.3728785792226032E-3</c:v>
                </c:pt>
                <c:pt idx="42">
                  <c:v>3.2538093128262062E-3</c:v>
                </c:pt>
                <c:pt idx="43">
                  <c:v>3.4513988184866826E-3</c:v>
                </c:pt>
                <c:pt idx="44">
                  <c:v>3.2591540686808008E-3</c:v>
                </c:pt>
                <c:pt idx="45">
                  <c:v>3.2246146397273676E-3</c:v>
                </c:pt>
                <c:pt idx="46">
                  <c:v>3.2240669100024647E-3</c:v>
                </c:pt>
                <c:pt idx="47">
                  <c:v>3.1889245943012771E-3</c:v>
                </c:pt>
                <c:pt idx="48">
                  <c:v>3.0160441654788366E-3</c:v>
                </c:pt>
                <c:pt idx="49">
                  <c:v>3.2887603131347403E-3</c:v>
                </c:pt>
                <c:pt idx="50">
                  <c:v>3.2257150352106635E-3</c:v>
                </c:pt>
                <c:pt idx="51">
                  <c:v>3.0221347066428442E-3</c:v>
                </c:pt>
                <c:pt idx="52">
                  <c:v>3.1953325116869714E-3</c:v>
                </c:pt>
                <c:pt idx="53">
                  <c:v>3.2104750230702002E-3</c:v>
                </c:pt>
                <c:pt idx="54">
                  <c:v>3.2325833179143266E-3</c:v>
                </c:pt>
                <c:pt idx="55">
                  <c:v>3.1310554659324556E-3</c:v>
                </c:pt>
                <c:pt idx="56">
                  <c:v>3.1548331879304573E-3</c:v>
                </c:pt>
                <c:pt idx="57">
                  <c:v>3.2853550404775929E-3</c:v>
                </c:pt>
                <c:pt idx="58">
                  <c:v>3.1906858251526068E-3</c:v>
                </c:pt>
                <c:pt idx="59">
                  <c:v>3.0576507742938589E-3</c:v>
                </c:pt>
                <c:pt idx="60">
                  <c:v>3.1294880134582017E-3</c:v>
                </c:pt>
                <c:pt idx="61">
                  <c:v>3.179772505954438E-3</c:v>
                </c:pt>
                <c:pt idx="62">
                  <c:v>3.0692662362718616E-3</c:v>
                </c:pt>
                <c:pt idx="63">
                  <c:v>3.0574185153059447E-3</c:v>
                </c:pt>
                <c:pt idx="64">
                  <c:v>3.142205255121397E-3</c:v>
                </c:pt>
                <c:pt idx="65">
                  <c:v>3.0427696755175758E-3</c:v>
                </c:pt>
                <c:pt idx="66">
                  <c:v>3.0802852723120894E-3</c:v>
                </c:pt>
                <c:pt idx="67">
                  <c:v>2.9917824461353285E-3</c:v>
                </c:pt>
                <c:pt idx="68">
                  <c:v>3.1112029750035835E-3</c:v>
                </c:pt>
                <c:pt idx="69">
                  <c:v>3.0263632165210318E-3</c:v>
                </c:pt>
                <c:pt idx="70">
                  <c:v>3.0473470685925888E-3</c:v>
                </c:pt>
                <c:pt idx="71">
                  <c:v>3.0850310869350315E-3</c:v>
                </c:pt>
                <c:pt idx="72">
                  <c:v>3.1697241732543623E-3</c:v>
                </c:pt>
                <c:pt idx="73">
                  <c:v>3.1467182081605189E-3</c:v>
                </c:pt>
                <c:pt idx="74">
                  <c:v>3.204937753785872E-3</c:v>
                </c:pt>
                <c:pt idx="75">
                  <c:v>3.1628264591126629E-3</c:v>
                </c:pt>
                <c:pt idx="76">
                  <c:v>3.1277518987287271E-3</c:v>
                </c:pt>
                <c:pt idx="77">
                  <c:v>3.1856036382760778E-3</c:v>
                </c:pt>
                <c:pt idx="78">
                  <c:v>3.298557628197675E-3</c:v>
                </c:pt>
                <c:pt idx="79">
                  <c:v>3.2124449069876643E-3</c:v>
                </c:pt>
                <c:pt idx="80">
                  <c:v>3.2227362083624743E-3</c:v>
                </c:pt>
                <c:pt idx="81">
                  <c:v>3.3226638297181796E-3</c:v>
                </c:pt>
                <c:pt idx="82">
                  <c:v>3.3625679744749867E-3</c:v>
                </c:pt>
                <c:pt idx="83">
                  <c:v>3.5313727818466643E-3</c:v>
                </c:pt>
                <c:pt idx="84">
                  <c:v>3.3495763851762133E-3</c:v>
                </c:pt>
                <c:pt idx="85">
                  <c:v>3.7727681412977961E-3</c:v>
                </c:pt>
                <c:pt idx="86">
                  <c:v>3.5323805950662314E-3</c:v>
                </c:pt>
                <c:pt idx="87">
                  <c:v>3.7741191817434838E-3</c:v>
                </c:pt>
                <c:pt idx="88">
                  <c:v>3.6204958473378644E-3</c:v>
                </c:pt>
                <c:pt idx="89">
                  <c:v>3.4674609797609494E-3</c:v>
                </c:pt>
                <c:pt idx="90">
                  <c:v>3.689160282346381E-3</c:v>
                </c:pt>
                <c:pt idx="91">
                  <c:v>3.587200922643152E-3</c:v>
                </c:pt>
                <c:pt idx="92">
                  <c:v>3.6956661131832555E-3</c:v>
                </c:pt>
                <c:pt idx="93">
                  <c:v>3.8231743313504101E-3</c:v>
                </c:pt>
                <c:pt idx="94">
                  <c:v>3.8662514270839986E-3</c:v>
                </c:pt>
                <c:pt idx="95">
                  <c:v>3.8291950280769449E-3</c:v>
                </c:pt>
                <c:pt idx="96">
                  <c:v>3.7142204625525738E-3</c:v>
                </c:pt>
                <c:pt idx="97">
                  <c:v>3.673487990614341E-3</c:v>
                </c:pt>
                <c:pt idx="98">
                  <c:v>3.6181444258954493E-3</c:v>
                </c:pt>
                <c:pt idx="99">
                  <c:v>4.1368579558741037E-3</c:v>
                </c:pt>
                <c:pt idx="100">
                  <c:v>4.0043959507671083E-3</c:v>
                </c:pt>
                <c:pt idx="101">
                  <c:v>3.683799783555348E-3</c:v>
                </c:pt>
                <c:pt idx="102">
                  <c:v>3.654259054360981E-3</c:v>
                </c:pt>
                <c:pt idx="103">
                  <c:v>3.4785698423955404E-3</c:v>
                </c:pt>
                <c:pt idx="104">
                  <c:v>3.4667052265727498E-3</c:v>
                </c:pt>
                <c:pt idx="105">
                  <c:v>3.3199897908636664E-3</c:v>
                </c:pt>
                <c:pt idx="106">
                  <c:v>3.3190368189894535E-3</c:v>
                </c:pt>
                <c:pt idx="107">
                  <c:v>3.6328617951623971E-3</c:v>
                </c:pt>
                <c:pt idx="108">
                  <c:v>3.3028221087457949E-3</c:v>
                </c:pt>
                <c:pt idx="109">
                  <c:v>3.3462613730275265E-3</c:v>
                </c:pt>
                <c:pt idx="110">
                  <c:v>3.1602150214703091E-3</c:v>
                </c:pt>
                <c:pt idx="111">
                  <c:v>3.2575714487270663E-3</c:v>
                </c:pt>
                <c:pt idx="112">
                  <c:v>3.3290341349909423E-3</c:v>
                </c:pt>
                <c:pt idx="113">
                  <c:v>3.4166552043481315E-3</c:v>
                </c:pt>
                <c:pt idx="114">
                  <c:v>3.2838861687695983E-3</c:v>
                </c:pt>
                <c:pt idx="115">
                  <c:v>3.2157239380233623E-3</c:v>
                </c:pt>
                <c:pt idx="116">
                  <c:v>3.1677355326320536E-3</c:v>
                </c:pt>
                <c:pt idx="117">
                  <c:v>3.1232878175519894E-3</c:v>
                </c:pt>
                <c:pt idx="118">
                  <c:v>3.2694343081641312E-3</c:v>
                </c:pt>
                <c:pt idx="119">
                  <c:v>3.1770572457108684E-3</c:v>
                </c:pt>
                <c:pt idx="120">
                  <c:v>3.2538811792272686E-3</c:v>
                </c:pt>
                <c:pt idx="121">
                  <c:v>3.1659604343363883E-3</c:v>
                </c:pt>
                <c:pt idx="122">
                  <c:v>3.0974037316209933E-3</c:v>
                </c:pt>
                <c:pt idx="123">
                  <c:v>3.2447362383644265E-3</c:v>
                </c:pt>
                <c:pt idx="124">
                  <c:v>3.2466687092321837E-3</c:v>
                </c:pt>
                <c:pt idx="125">
                  <c:v>3.1392809292487894E-3</c:v>
                </c:pt>
                <c:pt idx="126">
                  <c:v>3.1638004833157429E-3</c:v>
                </c:pt>
                <c:pt idx="127">
                  <c:v>3.3550783199492598E-3</c:v>
                </c:pt>
                <c:pt idx="128">
                  <c:v>3.2290808543794193E-3</c:v>
                </c:pt>
                <c:pt idx="129">
                  <c:v>3.3171390421706556E-3</c:v>
                </c:pt>
                <c:pt idx="130">
                  <c:v>3.2312134236612681E-3</c:v>
                </c:pt>
                <c:pt idx="131">
                  <c:v>3.1893028115198173E-3</c:v>
                </c:pt>
                <c:pt idx="132">
                  <c:v>3.3596876491445082E-3</c:v>
                </c:pt>
                <c:pt idx="133">
                  <c:v>3.3277865382869568E-3</c:v>
                </c:pt>
                <c:pt idx="134">
                  <c:v>3.386531157803835E-3</c:v>
                </c:pt>
                <c:pt idx="135">
                  <c:v>3.5163268513456361E-3</c:v>
                </c:pt>
                <c:pt idx="136">
                  <c:v>3.3355492711801414E-3</c:v>
                </c:pt>
                <c:pt idx="137">
                  <c:v>3.5075371675128628E-3</c:v>
                </c:pt>
                <c:pt idx="138">
                  <c:v>3.5376277786872321E-3</c:v>
                </c:pt>
                <c:pt idx="139">
                  <c:v>3.3784673836264509E-3</c:v>
                </c:pt>
                <c:pt idx="140">
                  <c:v>3.8452664907053661E-3</c:v>
                </c:pt>
                <c:pt idx="141">
                  <c:v>3.570376698457146E-3</c:v>
                </c:pt>
                <c:pt idx="142">
                  <c:v>3.7482436122884284E-3</c:v>
                </c:pt>
                <c:pt idx="143">
                  <c:v>3.4967011733267822E-3</c:v>
                </c:pt>
                <c:pt idx="144">
                  <c:v>3.7380000701117142E-3</c:v>
                </c:pt>
                <c:pt idx="145">
                  <c:v>3.6993737980440034E-3</c:v>
                </c:pt>
                <c:pt idx="146">
                  <c:v>4.1110524298452996E-3</c:v>
                </c:pt>
                <c:pt idx="147">
                  <c:v>3.7515754124643049E-3</c:v>
                </c:pt>
                <c:pt idx="148">
                  <c:v>3.6757688286058179E-3</c:v>
                </c:pt>
                <c:pt idx="149">
                  <c:v>3.5511172105788602E-3</c:v>
                </c:pt>
                <c:pt idx="150">
                  <c:v>3.6468850672222697E-3</c:v>
                </c:pt>
                <c:pt idx="151">
                  <c:v>3.4965900225052836E-3</c:v>
                </c:pt>
                <c:pt idx="152">
                  <c:v>3.6306704740571511E-3</c:v>
                </c:pt>
                <c:pt idx="153">
                  <c:v>3.5834927163542083E-3</c:v>
                </c:pt>
                <c:pt idx="154">
                  <c:v>3.6989209586230322E-3</c:v>
                </c:pt>
                <c:pt idx="155">
                  <c:v>3.2780192426540753E-3</c:v>
                </c:pt>
                <c:pt idx="156">
                  <c:v>3.3642382107347711E-3</c:v>
                </c:pt>
                <c:pt idx="157">
                  <c:v>3.1149503160117957E-3</c:v>
                </c:pt>
                <c:pt idx="158">
                  <c:v>3.4322347966169709E-3</c:v>
                </c:pt>
                <c:pt idx="159">
                  <c:v>3.1250016783646419E-3</c:v>
                </c:pt>
                <c:pt idx="160">
                  <c:v>3.2035370756636847E-3</c:v>
                </c:pt>
                <c:pt idx="161">
                  <c:v>3.0582136596971803E-3</c:v>
                </c:pt>
                <c:pt idx="162">
                  <c:v>2.9912344022838171E-3</c:v>
                </c:pt>
                <c:pt idx="163">
                  <c:v>3.0605348323374791E-3</c:v>
                </c:pt>
                <c:pt idx="164">
                  <c:v>2.963571368009039E-3</c:v>
                </c:pt>
                <c:pt idx="165">
                  <c:v>3.0018020816822638E-3</c:v>
                </c:pt>
                <c:pt idx="166">
                  <c:v>3.118215572356013E-3</c:v>
                </c:pt>
                <c:pt idx="167">
                  <c:v>2.9499707247673634E-3</c:v>
                </c:pt>
                <c:pt idx="168">
                  <c:v>3.0665432789399941E-3</c:v>
                </c:pt>
                <c:pt idx="169">
                  <c:v>2.9374075129646824E-3</c:v>
                </c:pt>
                <c:pt idx="170">
                  <c:v>2.6062823260047242E-3</c:v>
                </c:pt>
                <c:pt idx="171">
                  <c:v>2.8258001565679407E-3</c:v>
                </c:pt>
                <c:pt idx="172">
                  <c:v>2.5967137342454176E-3</c:v>
                </c:pt>
                <c:pt idx="173">
                  <c:v>2.651548352398077E-3</c:v>
                </c:pt>
                <c:pt idx="174">
                  <c:v>2.4981095910627873E-3</c:v>
                </c:pt>
                <c:pt idx="175">
                  <c:v>2.4627716629012615E-3</c:v>
                </c:pt>
                <c:pt idx="176">
                  <c:v>2.3114659837352117E-3</c:v>
                </c:pt>
                <c:pt idx="177">
                  <c:v>2.2137328677741402E-3</c:v>
                </c:pt>
                <c:pt idx="178">
                  <c:v>2.1428244906340618E-3</c:v>
                </c:pt>
                <c:pt idx="179">
                  <c:v>1.9460604475898769E-3</c:v>
                </c:pt>
                <c:pt idx="180">
                  <c:v>1.8600952385042025E-3</c:v>
                </c:pt>
                <c:pt idx="181">
                  <c:v>1.5732101077990679E-3</c:v>
                </c:pt>
                <c:pt idx="182">
                  <c:v>1.3749363571103177E-3</c:v>
                </c:pt>
                <c:pt idx="183">
                  <c:v>1.5954343520953056E-3</c:v>
                </c:pt>
                <c:pt idx="184">
                  <c:v>1.3048299605494397E-3</c:v>
                </c:pt>
                <c:pt idx="185">
                  <c:v>9.9038742849174265E-4</c:v>
                </c:pt>
                <c:pt idx="186">
                  <c:v>8.4971046114531968E-4</c:v>
                </c:pt>
                <c:pt idx="187">
                  <c:v>6.1934639644575253E-4</c:v>
                </c:pt>
                <c:pt idx="188">
                  <c:v>5.8220983481967821E-4</c:v>
                </c:pt>
                <c:pt idx="189">
                  <c:v>4.9257422090651256E-4</c:v>
                </c:pt>
                <c:pt idx="190">
                  <c:v>2.6416804955147643E-4</c:v>
                </c:pt>
                <c:pt idx="191">
                  <c:v>2.001781058196833E-4</c:v>
                </c:pt>
                <c:pt idx="192">
                  <c:v>1.3937256490264749E-4</c:v>
                </c:pt>
                <c:pt idx="193">
                  <c:v>6.9121475232485625E-5</c:v>
                </c:pt>
                <c:pt idx="194">
                  <c:v>2.276820487697993E-5</c:v>
                </c:pt>
                <c:pt idx="195">
                  <c:v>2.3078324244487814E-6</c:v>
                </c:pt>
                <c:pt idx="196">
                  <c:v>0</c:v>
                </c:pt>
                <c:pt idx="197">
                  <c:v>0</c:v>
                </c:pt>
                <c:pt idx="198">
                  <c:v>0</c:v>
                </c:pt>
                <c:pt idx="199">
                  <c:v>0</c:v>
                </c:pt>
                <c:pt idx="200">
                  <c:v>0</c:v>
                </c:pt>
              </c:numCache>
            </c:numRef>
          </c:val>
          <c:smooth val="0"/>
          <c:extLst>
            <c:ext xmlns:c16="http://schemas.microsoft.com/office/drawing/2014/chart" uri="{C3380CC4-5D6E-409C-BE32-E72D297353CC}">
              <c16:uniqueId val="{00000000-B3E2-4B1B-86DB-9F49E0B1000A}"/>
            </c:ext>
          </c:extLst>
        </c:ser>
        <c:ser>
          <c:idx val="1"/>
          <c:order val="1"/>
          <c:tx>
            <c:strRef>
              <c:f>'all on one plot'!$C$4:$C$5</c:f>
              <c:strCache>
                <c:ptCount val="1"/>
                <c:pt idx="0">
                  <c:v>2</c:v>
                </c:pt>
              </c:strCache>
            </c:strRef>
          </c:tx>
          <c:spPr>
            <a:ln w="28575" cap="rnd">
              <a:solidFill>
                <a:schemeClr val="accent2"/>
              </a:solidFill>
              <a:round/>
            </a:ln>
            <a:effectLst/>
          </c:spPr>
          <c:marker>
            <c:symbol val="none"/>
          </c:marker>
          <c:cat>
            <c:strRef>
              <c:f>'all on one plot'!$A$6:$A$207</c:f>
              <c:strCache>
                <c:ptCount val="20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pt idx="188">
                  <c:v>188</c:v>
                </c:pt>
                <c:pt idx="189">
                  <c:v>189</c:v>
                </c:pt>
                <c:pt idx="190">
                  <c:v>190</c:v>
                </c:pt>
                <c:pt idx="191">
                  <c:v>191</c:v>
                </c:pt>
                <c:pt idx="192">
                  <c:v>192</c:v>
                </c:pt>
                <c:pt idx="193">
                  <c:v>193</c:v>
                </c:pt>
                <c:pt idx="194">
                  <c:v>194</c:v>
                </c:pt>
                <c:pt idx="195">
                  <c:v>195</c:v>
                </c:pt>
                <c:pt idx="196">
                  <c:v>196</c:v>
                </c:pt>
                <c:pt idx="197">
                  <c:v>197</c:v>
                </c:pt>
                <c:pt idx="198">
                  <c:v>198</c:v>
                </c:pt>
                <c:pt idx="199">
                  <c:v>199</c:v>
                </c:pt>
                <c:pt idx="200">
                  <c:v>200</c:v>
                </c:pt>
              </c:strCache>
            </c:strRef>
          </c:cat>
          <c:val>
            <c:numRef>
              <c:f>'all on one plot'!$C$6:$C$207</c:f>
              <c:numCache>
                <c:formatCode>General</c:formatCode>
                <c:ptCount val="201"/>
                <c:pt idx="0">
                  <c:v>6.2378563193740385E-4</c:v>
                </c:pt>
                <c:pt idx="1">
                  <c:v>1.4057813626949945E-3</c:v>
                </c:pt>
                <c:pt idx="2">
                  <c:v>1.7067301935658179E-3</c:v>
                </c:pt>
                <c:pt idx="3">
                  <c:v>1.9237258435689513E-3</c:v>
                </c:pt>
                <c:pt idx="4">
                  <c:v>2.0157313191564693E-3</c:v>
                </c:pt>
                <c:pt idx="5">
                  <c:v>1.9743402597262247E-3</c:v>
                </c:pt>
                <c:pt idx="6">
                  <c:v>2.1104433678800637E-3</c:v>
                </c:pt>
                <c:pt idx="7">
                  <c:v>2.0913031442355255E-3</c:v>
                </c:pt>
                <c:pt idx="8">
                  <c:v>2.1938545411325206E-3</c:v>
                </c:pt>
                <c:pt idx="9">
                  <c:v>2.2498278477859849E-3</c:v>
                </c:pt>
                <c:pt idx="10">
                  <c:v>2.2490770046669716E-3</c:v>
                </c:pt>
                <c:pt idx="11">
                  <c:v>2.3730824598479023E-3</c:v>
                </c:pt>
                <c:pt idx="12">
                  <c:v>2.410852925116991E-3</c:v>
                </c:pt>
                <c:pt idx="13">
                  <c:v>2.3305191308278937E-3</c:v>
                </c:pt>
                <c:pt idx="14">
                  <c:v>2.4708978835637466E-3</c:v>
                </c:pt>
                <c:pt idx="15">
                  <c:v>2.465843561607237E-3</c:v>
                </c:pt>
                <c:pt idx="16">
                  <c:v>2.3838478638342022E-3</c:v>
                </c:pt>
                <c:pt idx="17">
                  <c:v>2.5357928608831263E-3</c:v>
                </c:pt>
                <c:pt idx="18">
                  <c:v>2.6439194187242864E-3</c:v>
                </c:pt>
                <c:pt idx="19">
                  <c:v>2.5239715321835939E-3</c:v>
                </c:pt>
                <c:pt idx="20">
                  <c:v>2.8503128975325915E-3</c:v>
                </c:pt>
                <c:pt idx="21">
                  <c:v>2.6753027806789994E-3</c:v>
                </c:pt>
                <c:pt idx="22">
                  <c:v>2.6999513974718501E-3</c:v>
                </c:pt>
                <c:pt idx="23">
                  <c:v>2.76551442143923E-3</c:v>
                </c:pt>
                <c:pt idx="24">
                  <c:v>2.8290181876934398E-3</c:v>
                </c:pt>
                <c:pt idx="25">
                  <c:v>2.8766172759905105E-3</c:v>
                </c:pt>
                <c:pt idx="26">
                  <c:v>3.0038887014472598E-3</c:v>
                </c:pt>
                <c:pt idx="27">
                  <c:v>3.1034089898376088E-3</c:v>
                </c:pt>
                <c:pt idx="28">
                  <c:v>3.0187822509172221E-3</c:v>
                </c:pt>
                <c:pt idx="29">
                  <c:v>2.916385883687052E-3</c:v>
                </c:pt>
                <c:pt idx="30">
                  <c:v>3.1748740007263906E-3</c:v>
                </c:pt>
                <c:pt idx="31">
                  <c:v>2.9158798576789011E-3</c:v>
                </c:pt>
                <c:pt idx="32">
                  <c:v>3.2133242644024756E-3</c:v>
                </c:pt>
                <c:pt idx="33">
                  <c:v>3.2197403997441202E-3</c:v>
                </c:pt>
                <c:pt idx="34">
                  <c:v>3.2826499575686775E-3</c:v>
                </c:pt>
                <c:pt idx="35">
                  <c:v>3.1810341027265487E-3</c:v>
                </c:pt>
                <c:pt idx="36">
                  <c:v>3.2502939877018058E-3</c:v>
                </c:pt>
                <c:pt idx="37">
                  <c:v>3.1745584261121014E-3</c:v>
                </c:pt>
                <c:pt idx="38">
                  <c:v>3.3639905878435623E-3</c:v>
                </c:pt>
                <c:pt idx="39">
                  <c:v>3.2033245944173873E-3</c:v>
                </c:pt>
                <c:pt idx="40">
                  <c:v>3.2729057382976925E-3</c:v>
                </c:pt>
                <c:pt idx="41">
                  <c:v>3.0949975750723664E-3</c:v>
                </c:pt>
                <c:pt idx="42">
                  <c:v>3.1712444029957628E-3</c:v>
                </c:pt>
                <c:pt idx="43">
                  <c:v>3.1678971104687247E-3</c:v>
                </c:pt>
                <c:pt idx="44">
                  <c:v>2.8785526918920917E-3</c:v>
                </c:pt>
                <c:pt idx="45">
                  <c:v>2.9418079175862703E-3</c:v>
                </c:pt>
                <c:pt idx="46">
                  <c:v>3.1266936846527046E-3</c:v>
                </c:pt>
                <c:pt idx="47">
                  <c:v>2.9579598407058934E-3</c:v>
                </c:pt>
                <c:pt idx="48">
                  <c:v>3.1585241761021847E-3</c:v>
                </c:pt>
                <c:pt idx="49">
                  <c:v>2.9878654026142992E-3</c:v>
                </c:pt>
                <c:pt idx="50">
                  <c:v>3.1038872354504873E-3</c:v>
                </c:pt>
                <c:pt idx="51">
                  <c:v>2.9042870455048293E-3</c:v>
                </c:pt>
                <c:pt idx="52">
                  <c:v>2.9673495505308581E-3</c:v>
                </c:pt>
                <c:pt idx="53">
                  <c:v>3.2397300515165355E-3</c:v>
                </c:pt>
                <c:pt idx="54">
                  <c:v>3.0634899285473896E-3</c:v>
                </c:pt>
                <c:pt idx="55">
                  <c:v>3.2657411944279633E-3</c:v>
                </c:pt>
                <c:pt idx="56">
                  <c:v>2.9348393193685696E-3</c:v>
                </c:pt>
                <c:pt idx="57">
                  <c:v>3.0313681068872638E-3</c:v>
                </c:pt>
                <c:pt idx="58">
                  <c:v>3.2610373555725884E-3</c:v>
                </c:pt>
                <c:pt idx="59">
                  <c:v>3.0357675707907237E-3</c:v>
                </c:pt>
                <c:pt idx="60">
                  <c:v>3.1065790874640537E-3</c:v>
                </c:pt>
                <c:pt idx="61">
                  <c:v>3.0490017079403344E-3</c:v>
                </c:pt>
                <c:pt idx="62">
                  <c:v>3.0946318538270729E-3</c:v>
                </c:pt>
                <c:pt idx="63">
                  <c:v>3.042316065611454E-3</c:v>
                </c:pt>
                <c:pt idx="64">
                  <c:v>3.033899677608057E-3</c:v>
                </c:pt>
                <c:pt idx="65">
                  <c:v>2.9904190170540268E-3</c:v>
                </c:pt>
                <c:pt idx="66">
                  <c:v>2.9553239488637846E-3</c:v>
                </c:pt>
                <c:pt idx="67">
                  <c:v>3.0368487660681139E-3</c:v>
                </c:pt>
                <c:pt idx="68">
                  <c:v>3.1825657247508809E-3</c:v>
                </c:pt>
                <c:pt idx="69">
                  <c:v>3.1224263090747746E-3</c:v>
                </c:pt>
                <c:pt idx="70">
                  <c:v>3.0996365837997553E-3</c:v>
                </c:pt>
                <c:pt idx="71">
                  <c:v>3.1959584714760661E-3</c:v>
                </c:pt>
                <c:pt idx="72">
                  <c:v>3.2473887973846149E-3</c:v>
                </c:pt>
                <c:pt idx="73">
                  <c:v>3.2838299008847525E-3</c:v>
                </c:pt>
                <c:pt idx="74">
                  <c:v>3.0618226647723063E-3</c:v>
                </c:pt>
                <c:pt idx="75">
                  <c:v>3.3273730272586855E-3</c:v>
                </c:pt>
                <c:pt idx="76">
                  <c:v>3.2983344811941492E-3</c:v>
                </c:pt>
                <c:pt idx="77">
                  <c:v>3.3928905197195447E-3</c:v>
                </c:pt>
                <c:pt idx="78">
                  <c:v>3.5139402497796563E-3</c:v>
                </c:pt>
                <c:pt idx="79">
                  <c:v>3.5620845992438647E-3</c:v>
                </c:pt>
                <c:pt idx="80">
                  <c:v>3.4740525309206326E-3</c:v>
                </c:pt>
                <c:pt idx="81">
                  <c:v>3.6237073967286112E-3</c:v>
                </c:pt>
                <c:pt idx="82">
                  <c:v>3.7810975476477949E-3</c:v>
                </c:pt>
                <c:pt idx="83">
                  <c:v>3.5378976528586546E-3</c:v>
                </c:pt>
                <c:pt idx="84">
                  <c:v>3.5442288294530232E-3</c:v>
                </c:pt>
                <c:pt idx="85">
                  <c:v>3.2876621097114229E-3</c:v>
                </c:pt>
                <c:pt idx="86">
                  <c:v>3.4095290809932144E-3</c:v>
                </c:pt>
                <c:pt idx="87">
                  <c:v>3.7707770371602943E-3</c:v>
                </c:pt>
                <c:pt idx="88">
                  <c:v>3.7035314671149447E-3</c:v>
                </c:pt>
                <c:pt idx="89">
                  <c:v>3.4708477466317477E-3</c:v>
                </c:pt>
                <c:pt idx="90">
                  <c:v>3.6467539265902867E-3</c:v>
                </c:pt>
                <c:pt idx="91">
                  <c:v>3.7976402150842162E-3</c:v>
                </c:pt>
                <c:pt idx="92">
                  <c:v>3.7317531387105665E-3</c:v>
                </c:pt>
                <c:pt idx="93">
                  <c:v>3.6001504122769525E-3</c:v>
                </c:pt>
                <c:pt idx="94">
                  <c:v>3.6032085350412332E-3</c:v>
                </c:pt>
                <c:pt idx="95">
                  <c:v>3.6796367097857432E-3</c:v>
                </c:pt>
                <c:pt idx="96">
                  <c:v>3.79071043379293E-3</c:v>
                </c:pt>
                <c:pt idx="97">
                  <c:v>3.7017607185826007E-3</c:v>
                </c:pt>
                <c:pt idx="98">
                  <c:v>3.6136860442238187E-3</c:v>
                </c:pt>
                <c:pt idx="99">
                  <c:v>3.5016880641602997E-3</c:v>
                </c:pt>
                <c:pt idx="100">
                  <c:v>3.5911588119740927E-3</c:v>
                </c:pt>
                <c:pt idx="101">
                  <c:v>3.2771585254705985E-3</c:v>
                </c:pt>
                <c:pt idx="102">
                  <c:v>3.2148155835015004E-3</c:v>
                </c:pt>
                <c:pt idx="103">
                  <c:v>3.3238526507725903E-3</c:v>
                </c:pt>
                <c:pt idx="104">
                  <c:v>3.2695164674932621E-3</c:v>
                </c:pt>
                <c:pt idx="105">
                  <c:v>3.1614771906492939E-3</c:v>
                </c:pt>
                <c:pt idx="106">
                  <c:v>3.2607650877442863E-3</c:v>
                </c:pt>
                <c:pt idx="107">
                  <c:v>3.1341043840250101E-3</c:v>
                </c:pt>
                <c:pt idx="108">
                  <c:v>3.2949286550140681E-3</c:v>
                </c:pt>
                <c:pt idx="109">
                  <c:v>3.2801060277807678E-3</c:v>
                </c:pt>
                <c:pt idx="110">
                  <c:v>3.2163867662594993E-3</c:v>
                </c:pt>
                <c:pt idx="111">
                  <c:v>3.3410311923735714E-3</c:v>
                </c:pt>
                <c:pt idx="112">
                  <c:v>3.1060838275731905E-3</c:v>
                </c:pt>
                <c:pt idx="113">
                  <c:v>3.1517515154133686E-3</c:v>
                </c:pt>
                <c:pt idx="114">
                  <c:v>2.8926345808746377E-3</c:v>
                </c:pt>
                <c:pt idx="115">
                  <c:v>3.1699735230235641E-3</c:v>
                </c:pt>
                <c:pt idx="116">
                  <c:v>3.3112172497183666E-3</c:v>
                </c:pt>
                <c:pt idx="117">
                  <c:v>3.2161764140258833E-3</c:v>
                </c:pt>
                <c:pt idx="118">
                  <c:v>3.126632579497511E-3</c:v>
                </c:pt>
                <c:pt idx="119">
                  <c:v>3.3070868113139755E-3</c:v>
                </c:pt>
                <c:pt idx="120">
                  <c:v>3.3525732714091822E-3</c:v>
                </c:pt>
                <c:pt idx="121">
                  <c:v>2.9662635065872789E-3</c:v>
                </c:pt>
                <c:pt idx="122">
                  <c:v>3.021298647294958E-3</c:v>
                </c:pt>
                <c:pt idx="123">
                  <c:v>3.4398920416205373E-3</c:v>
                </c:pt>
                <c:pt idx="124">
                  <c:v>3.5659718646582897E-3</c:v>
                </c:pt>
                <c:pt idx="125">
                  <c:v>3.0546714726856806E-3</c:v>
                </c:pt>
                <c:pt idx="126">
                  <c:v>3.4981299449421323E-3</c:v>
                </c:pt>
                <c:pt idx="127">
                  <c:v>3.3310941303356109E-3</c:v>
                </c:pt>
                <c:pt idx="128">
                  <c:v>3.3887611034208757E-3</c:v>
                </c:pt>
                <c:pt idx="129">
                  <c:v>3.259150613129817E-3</c:v>
                </c:pt>
                <c:pt idx="130">
                  <c:v>3.2412864023328093E-3</c:v>
                </c:pt>
                <c:pt idx="131">
                  <c:v>3.4601073624709725E-3</c:v>
                </c:pt>
                <c:pt idx="132">
                  <c:v>3.4537610724992185E-3</c:v>
                </c:pt>
                <c:pt idx="133">
                  <c:v>3.4162571656343472E-3</c:v>
                </c:pt>
                <c:pt idx="134">
                  <c:v>3.6289475660033657E-3</c:v>
                </c:pt>
                <c:pt idx="135">
                  <c:v>3.4299518892000258E-3</c:v>
                </c:pt>
                <c:pt idx="136">
                  <c:v>3.4405822706378678E-3</c:v>
                </c:pt>
                <c:pt idx="137">
                  <c:v>3.7639548268749738E-3</c:v>
                </c:pt>
                <c:pt idx="138">
                  <c:v>3.6331640031631047E-3</c:v>
                </c:pt>
                <c:pt idx="139">
                  <c:v>3.592095644294125E-3</c:v>
                </c:pt>
                <c:pt idx="140">
                  <c:v>3.6666606826204441E-3</c:v>
                </c:pt>
                <c:pt idx="141">
                  <c:v>3.7851267798188824E-3</c:v>
                </c:pt>
                <c:pt idx="142">
                  <c:v>3.7902674509655114E-3</c:v>
                </c:pt>
                <c:pt idx="143">
                  <c:v>3.665364031184417E-3</c:v>
                </c:pt>
                <c:pt idx="144">
                  <c:v>3.4948261710288833E-3</c:v>
                </c:pt>
                <c:pt idx="145">
                  <c:v>3.50754832076403E-3</c:v>
                </c:pt>
                <c:pt idx="146">
                  <c:v>3.7078539013078592E-3</c:v>
                </c:pt>
                <c:pt idx="147">
                  <c:v>3.4161880448627521E-3</c:v>
                </c:pt>
                <c:pt idx="148">
                  <c:v>3.3913697098138179E-3</c:v>
                </c:pt>
                <c:pt idx="149">
                  <c:v>3.3051116403329424E-3</c:v>
                </c:pt>
                <c:pt idx="150">
                  <c:v>3.4731766455353692E-3</c:v>
                </c:pt>
                <c:pt idx="151">
                  <c:v>3.2050767272700374E-3</c:v>
                </c:pt>
                <c:pt idx="152">
                  <c:v>3.3295335120678217E-3</c:v>
                </c:pt>
                <c:pt idx="153">
                  <c:v>3.188836632086087E-3</c:v>
                </c:pt>
                <c:pt idx="154">
                  <c:v>3.3097903524493197E-3</c:v>
                </c:pt>
                <c:pt idx="155">
                  <c:v>3.3031131095729105E-3</c:v>
                </c:pt>
                <c:pt idx="156">
                  <c:v>3.0870145331048336E-3</c:v>
                </c:pt>
                <c:pt idx="157">
                  <c:v>3.2304813072775939E-3</c:v>
                </c:pt>
                <c:pt idx="158">
                  <c:v>3.0763545196690677E-3</c:v>
                </c:pt>
                <c:pt idx="159">
                  <c:v>3.0613804984549668E-3</c:v>
                </c:pt>
                <c:pt idx="160">
                  <c:v>3.0203037064971015E-3</c:v>
                </c:pt>
                <c:pt idx="161">
                  <c:v>2.7164026769507851E-3</c:v>
                </c:pt>
                <c:pt idx="162">
                  <c:v>3.0343663368606129E-3</c:v>
                </c:pt>
                <c:pt idx="163">
                  <c:v>3.0370839775248717E-3</c:v>
                </c:pt>
                <c:pt idx="164">
                  <c:v>2.6997065930564005E-3</c:v>
                </c:pt>
                <c:pt idx="165">
                  <c:v>2.8498436744424571E-3</c:v>
                </c:pt>
                <c:pt idx="166">
                  <c:v>2.6303298307426629E-3</c:v>
                </c:pt>
                <c:pt idx="167">
                  <c:v>2.4188899447168959E-3</c:v>
                </c:pt>
                <c:pt idx="168">
                  <c:v>2.4983176445194204E-3</c:v>
                </c:pt>
                <c:pt idx="169">
                  <c:v>2.3572300313796308E-3</c:v>
                </c:pt>
                <c:pt idx="170">
                  <c:v>2.2970050654903679E-3</c:v>
                </c:pt>
                <c:pt idx="171">
                  <c:v>2.0799492410423447E-3</c:v>
                </c:pt>
                <c:pt idx="172">
                  <c:v>2.0660248969824242E-3</c:v>
                </c:pt>
                <c:pt idx="173">
                  <c:v>1.8629484948892822E-3</c:v>
                </c:pt>
                <c:pt idx="174">
                  <c:v>1.8661670056532213E-3</c:v>
                </c:pt>
                <c:pt idx="175">
                  <c:v>1.6919940750005731E-3</c:v>
                </c:pt>
                <c:pt idx="176">
                  <c:v>1.5294561404054963E-3</c:v>
                </c:pt>
                <c:pt idx="177">
                  <c:v>1.3978324490178664E-3</c:v>
                </c:pt>
                <c:pt idx="178">
                  <c:v>1.2399530148217452E-3</c:v>
                </c:pt>
                <c:pt idx="179">
                  <c:v>1.29012252289808E-3</c:v>
                </c:pt>
                <c:pt idx="180">
                  <c:v>1.2686038962429552E-3</c:v>
                </c:pt>
                <c:pt idx="181">
                  <c:v>9.4557446498765322E-4</c:v>
                </c:pt>
                <c:pt idx="182">
                  <c:v>7.33060679804756E-4</c:v>
                </c:pt>
                <c:pt idx="183">
                  <c:v>8.0318016865002289E-4</c:v>
                </c:pt>
                <c:pt idx="184">
                  <c:v>5.2865651626423195E-4</c:v>
                </c:pt>
                <c:pt idx="185">
                  <c:v>5.4484090621843861E-4</c:v>
                </c:pt>
                <c:pt idx="186">
                  <c:v>3.8503400155791745E-4</c:v>
                </c:pt>
                <c:pt idx="187">
                  <c:v>2.2010969835123786E-4</c:v>
                </c:pt>
                <c:pt idx="188">
                  <c:v>1.8185505933387606E-4</c:v>
                </c:pt>
                <c:pt idx="189">
                  <c:v>1.2397067831514087E-4</c:v>
                </c:pt>
                <c:pt idx="190">
                  <c:v>4.9616398182135729E-5</c:v>
                </c:pt>
                <c:pt idx="191">
                  <c:v>2.3458517242794461E-5</c:v>
                </c:pt>
                <c:pt idx="192">
                  <c:v>2.4120045668185631E-6</c:v>
                </c:pt>
                <c:pt idx="193">
                  <c:v>0</c:v>
                </c:pt>
                <c:pt idx="194">
                  <c:v>0</c:v>
                </c:pt>
                <c:pt idx="195">
                  <c:v>0</c:v>
                </c:pt>
                <c:pt idx="196">
                  <c:v>0</c:v>
                </c:pt>
                <c:pt idx="197">
                  <c:v>0</c:v>
                </c:pt>
                <c:pt idx="198">
                  <c:v>0</c:v>
                </c:pt>
                <c:pt idx="199">
                  <c:v>0</c:v>
                </c:pt>
                <c:pt idx="200">
                  <c:v>0</c:v>
                </c:pt>
              </c:numCache>
            </c:numRef>
          </c:val>
          <c:smooth val="0"/>
          <c:extLst>
            <c:ext xmlns:c16="http://schemas.microsoft.com/office/drawing/2014/chart" uri="{C3380CC4-5D6E-409C-BE32-E72D297353CC}">
              <c16:uniqueId val="{00000001-B3E2-4B1B-86DB-9F49E0B1000A}"/>
            </c:ext>
          </c:extLst>
        </c:ser>
        <c:dLbls>
          <c:showLegendKey val="0"/>
          <c:showVal val="0"/>
          <c:showCatName val="0"/>
          <c:showSerName val="0"/>
          <c:showPercent val="0"/>
          <c:showBubbleSize val="0"/>
        </c:dLbls>
        <c:smooth val="0"/>
        <c:axId val="1055555967"/>
        <c:axId val="1055576127"/>
      </c:lineChart>
      <c:catAx>
        <c:axId val="1055555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5576127"/>
        <c:crosses val="autoZero"/>
        <c:auto val="1"/>
        <c:lblAlgn val="ctr"/>
        <c:lblOffset val="100"/>
        <c:noMultiLvlLbl val="0"/>
      </c:catAx>
      <c:valAx>
        <c:axId val="1055576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5555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[KCOR_ts_analysis_reference.xlsx]time series 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 of unadjusted</a:t>
            </a:r>
            <a:r>
              <a:rPr lang="en-US" baseline="0"/>
              <a:t> </a:t>
            </a:r>
            <a:r>
              <a:rPr lang="en-US"/>
              <a:t>h(t) by week after Dose 2.</a:t>
            </a:r>
            <a:r>
              <a:rPr lang="en-US" baseline="0"/>
              <a:t> Born 193x to 195x.</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'time series analysis'!$B$4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'time series analysis'!$A$5:$A$206</c:f>
              <c:strCache>
                <c:ptCount val="20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pt idx="188">
                  <c:v>188</c:v>
                </c:pt>
                <c:pt idx="189">
                  <c:v>189</c:v>
                </c:pt>
                <c:pt idx="190">
                  <c:v>190</c:v>
                </c:pt>
                <c:pt idx="191">
                  <c:v>191</c:v>
                </c:pt>
                <c:pt idx="192">
                  <c:v>192</c:v>
                </c:pt>
                <c:pt idx="193">
                  <c:v>193</c:v>
                </c:pt>
                <c:pt idx="194">
                  <c:v>194</c:v>
                </c:pt>
                <c:pt idx="195">
                  <c:v>195</c:v>
                </c:pt>
                <c:pt idx="196">
                  <c:v>196</c:v>
                </c:pt>
                <c:pt idx="197">
                  <c:v>197</c:v>
                </c:pt>
                <c:pt idx="198">
                  <c:v>198</c:v>
                </c:pt>
                <c:pt idx="199">
                  <c:v>199</c:v>
                </c:pt>
                <c:pt idx="200">
                  <c:v>200</c:v>
                </c:pt>
              </c:strCache>
            </c:strRef>
          </c:cat>
          <c:val>
            <c:numRef>
              <c:f>'time series analysis'!$B$5:$B$206</c:f>
              <c:numCache>
                <c:formatCode>General</c:formatCode>
                <c:ptCount val="201"/>
                <c:pt idx="0">
                  <c:v>6.2378563193740385E-4</c:v>
                </c:pt>
                <c:pt idx="1">
                  <c:v>1.4057813626949945E-3</c:v>
                </c:pt>
                <c:pt idx="2">
                  <c:v>1.7067301935658179E-3</c:v>
                </c:pt>
                <c:pt idx="3">
                  <c:v>1.9237258435689513E-3</c:v>
                </c:pt>
                <c:pt idx="4">
                  <c:v>2.0157313191564693E-3</c:v>
                </c:pt>
                <c:pt idx="5">
                  <c:v>1.9743402597262247E-3</c:v>
                </c:pt>
                <c:pt idx="6">
                  <c:v>2.1104433678800637E-3</c:v>
                </c:pt>
                <c:pt idx="7">
                  <c:v>2.0913031442355255E-3</c:v>
                </c:pt>
                <c:pt idx="8">
                  <c:v>2.1938545411325206E-3</c:v>
                </c:pt>
                <c:pt idx="9">
                  <c:v>2.2498278477859849E-3</c:v>
                </c:pt>
                <c:pt idx="10">
                  <c:v>2.2490770046669716E-3</c:v>
                </c:pt>
                <c:pt idx="11">
                  <c:v>2.3730824598479023E-3</c:v>
                </c:pt>
                <c:pt idx="12">
                  <c:v>2.410852925116991E-3</c:v>
                </c:pt>
                <c:pt idx="13">
                  <c:v>2.3305191308278937E-3</c:v>
                </c:pt>
                <c:pt idx="14">
                  <c:v>2.4708978835637466E-3</c:v>
                </c:pt>
                <c:pt idx="15">
                  <c:v>2.465843561607237E-3</c:v>
                </c:pt>
                <c:pt idx="16">
                  <c:v>2.3838478638342022E-3</c:v>
                </c:pt>
                <c:pt idx="17">
                  <c:v>2.5357928608831263E-3</c:v>
                </c:pt>
                <c:pt idx="18">
                  <c:v>2.6439194187242864E-3</c:v>
                </c:pt>
                <c:pt idx="19">
                  <c:v>2.5239715321835939E-3</c:v>
                </c:pt>
                <c:pt idx="20">
                  <c:v>2.8503128975325915E-3</c:v>
                </c:pt>
                <c:pt idx="21">
                  <c:v>2.6753027806789994E-3</c:v>
                </c:pt>
                <c:pt idx="22">
                  <c:v>2.6999513974718501E-3</c:v>
                </c:pt>
                <c:pt idx="23">
                  <c:v>2.76551442143923E-3</c:v>
                </c:pt>
                <c:pt idx="24">
                  <c:v>2.8290181876934398E-3</c:v>
                </c:pt>
                <c:pt idx="25">
                  <c:v>2.8766172759905105E-3</c:v>
                </c:pt>
                <c:pt idx="26">
                  <c:v>3.0038887014472598E-3</c:v>
                </c:pt>
                <c:pt idx="27">
                  <c:v>3.1034089898376088E-3</c:v>
                </c:pt>
                <c:pt idx="28">
                  <c:v>3.0187822509172221E-3</c:v>
                </c:pt>
                <c:pt idx="29">
                  <c:v>2.916385883687052E-3</c:v>
                </c:pt>
                <c:pt idx="30">
                  <c:v>3.1748740007263906E-3</c:v>
                </c:pt>
                <c:pt idx="31">
                  <c:v>2.9158798576789011E-3</c:v>
                </c:pt>
                <c:pt idx="32">
                  <c:v>3.2133242644024756E-3</c:v>
                </c:pt>
                <c:pt idx="33">
                  <c:v>3.2197403997441202E-3</c:v>
                </c:pt>
                <c:pt idx="34">
                  <c:v>3.2826499575686775E-3</c:v>
                </c:pt>
                <c:pt idx="35">
                  <c:v>3.1810341027265487E-3</c:v>
                </c:pt>
                <c:pt idx="36">
                  <c:v>3.2502939877018058E-3</c:v>
                </c:pt>
                <c:pt idx="37">
                  <c:v>3.1745584261121014E-3</c:v>
                </c:pt>
                <c:pt idx="38">
                  <c:v>3.3639905878435623E-3</c:v>
                </c:pt>
                <c:pt idx="39">
                  <c:v>3.2033245944173873E-3</c:v>
                </c:pt>
                <c:pt idx="40">
                  <c:v>3.2729057382976925E-3</c:v>
                </c:pt>
                <c:pt idx="41">
                  <c:v>3.0949975750723664E-3</c:v>
                </c:pt>
                <c:pt idx="42">
                  <c:v>3.1712444029957628E-3</c:v>
                </c:pt>
                <c:pt idx="43">
                  <c:v>3.1678971104687247E-3</c:v>
                </c:pt>
                <c:pt idx="44">
                  <c:v>2.8785526918920917E-3</c:v>
                </c:pt>
                <c:pt idx="45">
                  <c:v>2.9418079175862703E-3</c:v>
                </c:pt>
                <c:pt idx="46">
                  <c:v>3.1266936846527046E-3</c:v>
                </c:pt>
                <c:pt idx="47">
                  <c:v>2.9579598407058934E-3</c:v>
                </c:pt>
                <c:pt idx="48">
                  <c:v>3.1585241761021847E-3</c:v>
                </c:pt>
                <c:pt idx="49">
                  <c:v>2.9878654026142992E-3</c:v>
                </c:pt>
                <c:pt idx="50">
                  <c:v>3.1038872354504873E-3</c:v>
                </c:pt>
                <c:pt idx="51">
                  <c:v>2.9042870455048293E-3</c:v>
                </c:pt>
                <c:pt idx="52">
                  <c:v>2.9673495505308581E-3</c:v>
                </c:pt>
                <c:pt idx="53">
                  <c:v>3.2397300515165355E-3</c:v>
                </c:pt>
                <c:pt idx="54">
                  <c:v>3.0634899285473896E-3</c:v>
                </c:pt>
                <c:pt idx="55">
                  <c:v>3.2657411944279633E-3</c:v>
                </c:pt>
                <c:pt idx="56">
                  <c:v>2.9348393193685696E-3</c:v>
                </c:pt>
                <c:pt idx="57">
                  <c:v>3.0313681068872638E-3</c:v>
                </c:pt>
                <c:pt idx="58">
                  <c:v>3.2610373555725884E-3</c:v>
                </c:pt>
                <c:pt idx="59">
                  <c:v>3.0357675707907237E-3</c:v>
                </c:pt>
                <c:pt idx="60">
                  <c:v>3.1065790874640537E-3</c:v>
                </c:pt>
                <c:pt idx="61">
                  <c:v>3.0490017079403344E-3</c:v>
                </c:pt>
                <c:pt idx="62">
                  <c:v>3.0946318538270729E-3</c:v>
                </c:pt>
                <c:pt idx="63">
                  <c:v>3.042316065611454E-3</c:v>
                </c:pt>
                <c:pt idx="64">
                  <c:v>3.033899677608057E-3</c:v>
                </c:pt>
                <c:pt idx="65">
                  <c:v>2.9904190170540268E-3</c:v>
                </c:pt>
                <c:pt idx="66">
                  <c:v>2.9553239488637846E-3</c:v>
                </c:pt>
                <c:pt idx="67">
                  <c:v>3.0368487660681139E-3</c:v>
                </c:pt>
                <c:pt idx="68">
                  <c:v>3.1825657247508809E-3</c:v>
                </c:pt>
                <c:pt idx="69">
                  <c:v>3.1224263090747746E-3</c:v>
                </c:pt>
                <c:pt idx="70">
                  <c:v>3.0996365837997553E-3</c:v>
                </c:pt>
                <c:pt idx="71">
                  <c:v>3.1959584714760661E-3</c:v>
                </c:pt>
                <c:pt idx="72">
                  <c:v>3.2473887973846149E-3</c:v>
                </c:pt>
                <c:pt idx="73">
                  <c:v>3.2838299008847525E-3</c:v>
                </c:pt>
                <c:pt idx="74">
                  <c:v>3.0618226647723063E-3</c:v>
                </c:pt>
                <c:pt idx="75">
                  <c:v>3.3273730272586855E-3</c:v>
                </c:pt>
                <c:pt idx="76">
                  <c:v>3.2983344811941492E-3</c:v>
                </c:pt>
                <c:pt idx="77">
                  <c:v>3.3928905197195447E-3</c:v>
                </c:pt>
                <c:pt idx="78">
                  <c:v>3.5139402497796563E-3</c:v>
                </c:pt>
                <c:pt idx="79">
                  <c:v>3.5620845992438647E-3</c:v>
                </c:pt>
                <c:pt idx="80">
                  <c:v>3.4740525309206326E-3</c:v>
                </c:pt>
                <c:pt idx="81">
                  <c:v>3.6237073967286112E-3</c:v>
                </c:pt>
                <c:pt idx="82">
                  <c:v>3.7810975476477949E-3</c:v>
                </c:pt>
                <c:pt idx="83">
                  <c:v>3.5378976528586546E-3</c:v>
                </c:pt>
                <c:pt idx="84">
                  <c:v>3.5442288294530232E-3</c:v>
                </c:pt>
                <c:pt idx="85">
                  <c:v>3.2876621097114229E-3</c:v>
                </c:pt>
                <c:pt idx="86">
                  <c:v>3.4095290809932144E-3</c:v>
                </c:pt>
                <c:pt idx="87">
                  <c:v>3.7707770371602943E-3</c:v>
                </c:pt>
                <c:pt idx="88">
                  <c:v>3.7035314671149447E-3</c:v>
                </c:pt>
                <c:pt idx="89">
                  <c:v>3.4708477466317477E-3</c:v>
                </c:pt>
                <c:pt idx="90">
                  <c:v>3.6467539265902867E-3</c:v>
                </c:pt>
                <c:pt idx="91">
                  <c:v>3.7976402150842162E-3</c:v>
                </c:pt>
                <c:pt idx="92">
                  <c:v>3.7317531387105665E-3</c:v>
                </c:pt>
                <c:pt idx="93">
                  <c:v>3.6001504122769525E-3</c:v>
                </c:pt>
                <c:pt idx="94">
                  <c:v>3.6032085350412332E-3</c:v>
                </c:pt>
                <c:pt idx="95">
                  <c:v>3.6796367097857432E-3</c:v>
                </c:pt>
                <c:pt idx="96">
                  <c:v>3.79071043379293E-3</c:v>
                </c:pt>
                <c:pt idx="97">
                  <c:v>3.7017607185826007E-3</c:v>
                </c:pt>
                <c:pt idx="98">
                  <c:v>3.6136860442238187E-3</c:v>
                </c:pt>
                <c:pt idx="99">
                  <c:v>3.5016880641602997E-3</c:v>
                </c:pt>
                <c:pt idx="100">
                  <c:v>3.5911588119740927E-3</c:v>
                </c:pt>
                <c:pt idx="101">
                  <c:v>3.2771585254705985E-3</c:v>
                </c:pt>
                <c:pt idx="102">
                  <c:v>3.2148155835015004E-3</c:v>
                </c:pt>
                <c:pt idx="103">
                  <c:v>3.3238526507725903E-3</c:v>
                </c:pt>
                <c:pt idx="104">
                  <c:v>3.2695164674932621E-3</c:v>
                </c:pt>
                <c:pt idx="105">
                  <c:v>3.1614771906492939E-3</c:v>
                </c:pt>
                <c:pt idx="106">
                  <c:v>3.2607650877442863E-3</c:v>
                </c:pt>
                <c:pt idx="107">
                  <c:v>3.1341043840250101E-3</c:v>
                </c:pt>
                <c:pt idx="108">
                  <c:v>3.2949286550140681E-3</c:v>
                </c:pt>
                <c:pt idx="109">
                  <c:v>3.2801060277807678E-3</c:v>
                </c:pt>
                <c:pt idx="110">
                  <c:v>3.2163867662594993E-3</c:v>
                </c:pt>
                <c:pt idx="111">
                  <c:v>3.3410311923735714E-3</c:v>
                </c:pt>
                <c:pt idx="112">
                  <c:v>3.1060838275731905E-3</c:v>
                </c:pt>
                <c:pt idx="113">
                  <c:v>3.1517515154133686E-3</c:v>
                </c:pt>
                <c:pt idx="114">
                  <c:v>2.8926345808746377E-3</c:v>
                </c:pt>
                <c:pt idx="115">
                  <c:v>3.1699735230235641E-3</c:v>
                </c:pt>
                <c:pt idx="116">
                  <c:v>3.3112172497183666E-3</c:v>
                </c:pt>
                <c:pt idx="117">
                  <c:v>3.2161764140258833E-3</c:v>
                </c:pt>
                <c:pt idx="118">
                  <c:v>3.126632579497511E-3</c:v>
                </c:pt>
                <c:pt idx="119">
                  <c:v>3.3070868113139755E-3</c:v>
                </c:pt>
                <c:pt idx="120">
                  <c:v>3.3525732714091822E-3</c:v>
                </c:pt>
                <c:pt idx="121">
                  <c:v>2.9662635065872789E-3</c:v>
                </c:pt>
                <c:pt idx="122">
                  <c:v>3.021298647294958E-3</c:v>
                </c:pt>
                <c:pt idx="123">
                  <c:v>3.4398920416205373E-3</c:v>
                </c:pt>
                <c:pt idx="124">
                  <c:v>3.5659718646582897E-3</c:v>
                </c:pt>
                <c:pt idx="125">
                  <c:v>3.0546714726856806E-3</c:v>
                </c:pt>
                <c:pt idx="126">
                  <c:v>3.4981299449421323E-3</c:v>
                </c:pt>
                <c:pt idx="127">
                  <c:v>3.3310941303356109E-3</c:v>
                </c:pt>
                <c:pt idx="128">
                  <c:v>3.3887611034208757E-3</c:v>
                </c:pt>
                <c:pt idx="129">
                  <c:v>3.259150613129817E-3</c:v>
                </c:pt>
                <c:pt idx="130">
                  <c:v>3.2412864023328093E-3</c:v>
                </c:pt>
                <c:pt idx="131">
                  <c:v>3.4601073624709725E-3</c:v>
                </c:pt>
                <c:pt idx="132">
                  <c:v>3.4537610724992185E-3</c:v>
                </c:pt>
                <c:pt idx="133">
                  <c:v>3.4162571656343472E-3</c:v>
                </c:pt>
                <c:pt idx="134">
                  <c:v>3.6289475660033657E-3</c:v>
                </c:pt>
                <c:pt idx="135">
                  <c:v>3.4299518892000258E-3</c:v>
                </c:pt>
                <c:pt idx="136">
                  <c:v>3.4405822706378678E-3</c:v>
                </c:pt>
                <c:pt idx="137">
                  <c:v>3.7639548268749738E-3</c:v>
                </c:pt>
                <c:pt idx="138">
                  <c:v>3.6331640031631047E-3</c:v>
                </c:pt>
                <c:pt idx="139">
                  <c:v>3.592095644294125E-3</c:v>
                </c:pt>
                <c:pt idx="140">
                  <c:v>3.6666606826204441E-3</c:v>
                </c:pt>
                <c:pt idx="141">
                  <c:v>3.7851267798188824E-3</c:v>
                </c:pt>
                <c:pt idx="142">
                  <c:v>3.7902674509655114E-3</c:v>
                </c:pt>
                <c:pt idx="143">
                  <c:v>3.665364031184417E-3</c:v>
                </c:pt>
                <c:pt idx="144">
                  <c:v>3.4948261710288833E-3</c:v>
                </c:pt>
                <c:pt idx="145">
                  <c:v>3.50754832076403E-3</c:v>
                </c:pt>
                <c:pt idx="146">
                  <c:v>3.7078539013078592E-3</c:v>
                </c:pt>
                <c:pt idx="147">
                  <c:v>3.4161880448627521E-3</c:v>
                </c:pt>
                <c:pt idx="148">
                  <c:v>3.3913697098138179E-3</c:v>
                </c:pt>
                <c:pt idx="149">
                  <c:v>3.3051116403329424E-3</c:v>
                </c:pt>
                <c:pt idx="150">
                  <c:v>3.4731766455353692E-3</c:v>
                </c:pt>
                <c:pt idx="151">
                  <c:v>3.2050767272700374E-3</c:v>
                </c:pt>
                <c:pt idx="152">
                  <c:v>3.3295335120678217E-3</c:v>
                </c:pt>
                <c:pt idx="153">
                  <c:v>3.188836632086087E-3</c:v>
                </c:pt>
                <c:pt idx="154">
                  <c:v>3.3097903524493197E-3</c:v>
                </c:pt>
                <c:pt idx="155">
                  <c:v>3.3031131095729105E-3</c:v>
                </c:pt>
                <c:pt idx="156">
                  <c:v>3.0870145331048336E-3</c:v>
                </c:pt>
                <c:pt idx="157">
                  <c:v>3.2304813072775939E-3</c:v>
                </c:pt>
                <c:pt idx="158">
                  <c:v>3.0763545196690677E-3</c:v>
                </c:pt>
                <c:pt idx="159">
                  <c:v>3.0613804984549668E-3</c:v>
                </c:pt>
                <c:pt idx="160">
                  <c:v>3.0203037064971015E-3</c:v>
                </c:pt>
                <c:pt idx="161">
                  <c:v>2.7164026769507851E-3</c:v>
                </c:pt>
                <c:pt idx="162">
                  <c:v>3.0343663368606129E-3</c:v>
                </c:pt>
                <c:pt idx="163">
                  <c:v>3.0370839775248717E-3</c:v>
                </c:pt>
                <c:pt idx="164">
                  <c:v>2.6997065930564005E-3</c:v>
                </c:pt>
                <c:pt idx="165">
                  <c:v>2.8498436744424571E-3</c:v>
                </c:pt>
                <c:pt idx="166">
                  <c:v>2.6303298307426629E-3</c:v>
                </c:pt>
                <c:pt idx="167">
                  <c:v>2.4188899447168959E-3</c:v>
                </c:pt>
                <c:pt idx="168">
                  <c:v>2.4983176445194204E-3</c:v>
                </c:pt>
                <c:pt idx="169">
                  <c:v>2.3572300313796308E-3</c:v>
                </c:pt>
                <c:pt idx="170">
                  <c:v>2.2970050654903679E-3</c:v>
                </c:pt>
                <c:pt idx="171">
                  <c:v>2.0799492410423447E-3</c:v>
                </c:pt>
                <c:pt idx="172">
                  <c:v>2.0660248969824242E-3</c:v>
                </c:pt>
                <c:pt idx="173">
                  <c:v>1.8629484948892822E-3</c:v>
                </c:pt>
                <c:pt idx="174">
                  <c:v>1.8661670056532213E-3</c:v>
                </c:pt>
                <c:pt idx="175">
                  <c:v>1.6919940750005731E-3</c:v>
                </c:pt>
                <c:pt idx="176">
                  <c:v>1.5294561404054963E-3</c:v>
                </c:pt>
                <c:pt idx="177">
                  <c:v>1.3978324490178664E-3</c:v>
                </c:pt>
                <c:pt idx="178">
                  <c:v>1.2399530148217452E-3</c:v>
                </c:pt>
                <c:pt idx="179">
                  <c:v>1.29012252289808E-3</c:v>
                </c:pt>
                <c:pt idx="180">
                  <c:v>1.2686038962429552E-3</c:v>
                </c:pt>
                <c:pt idx="181">
                  <c:v>9.4557446498765322E-4</c:v>
                </c:pt>
                <c:pt idx="182">
                  <c:v>7.33060679804756E-4</c:v>
                </c:pt>
                <c:pt idx="183">
                  <c:v>8.0318016865002289E-4</c:v>
                </c:pt>
                <c:pt idx="184">
                  <c:v>5.2865651626423195E-4</c:v>
                </c:pt>
                <c:pt idx="185">
                  <c:v>5.4484090621843861E-4</c:v>
                </c:pt>
                <c:pt idx="186">
                  <c:v>3.8503400155791745E-4</c:v>
                </c:pt>
                <c:pt idx="187">
                  <c:v>2.2010969835123786E-4</c:v>
                </c:pt>
                <c:pt idx="188">
                  <c:v>1.8185505933387606E-4</c:v>
                </c:pt>
                <c:pt idx="189">
                  <c:v>1.2397067831514087E-4</c:v>
                </c:pt>
                <c:pt idx="190">
                  <c:v>4.9616398182135729E-5</c:v>
                </c:pt>
                <c:pt idx="191">
                  <c:v>2.3458517242794461E-5</c:v>
                </c:pt>
                <c:pt idx="192">
                  <c:v>2.4120045668185631E-6</c:v>
                </c:pt>
                <c:pt idx="193">
                  <c:v>0</c:v>
                </c:pt>
                <c:pt idx="194">
                  <c:v>0</c:v>
                </c:pt>
                <c:pt idx="195">
                  <c:v>0</c:v>
                </c:pt>
                <c:pt idx="196">
                  <c:v>0</c:v>
                </c:pt>
                <c:pt idx="197">
                  <c:v>0</c:v>
                </c:pt>
                <c:pt idx="198">
                  <c:v>0</c:v>
                </c:pt>
                <c:pt idx="199">
                  <c:v>0</c:v>
                </c:pt>
                <c:pt idx="200">
                  <c:v>0</c:v>
                </c:pt>
              </c:numCache>
            </c:numRef>
          </c:val>
          <c:smooth val="0"/>
          <c:extLst>
            <c:ext xmlns:c16="http://schemas.microsoft.com/office/drawing/2014/chart" uri="{C3380CC4-5D6E-409C-BE32-E72D297353CC}">
              <c16:uniqueId val="{00000000-39AA-4DCC-8C60-F6174B44F0D8}"/>
            </c:ext>
          </c:extLst>
        </c:ser>
        <c:dLbls>
          <c:showLegendKey val="0"/>
          <c:showVal val="0"/>
          <c:showCatName val="0"/>
          <c:showSerName val="0"/>
          <c:showPercent val="0"/>
          <c:showBubbleSize val="0"/>
        </c:dLbls>
        <c:marker val="1"/>
        <c:smooth val="0"/>
        <c:axId val="779780144"/>
        <c:axId val="779780624"/>
      </c:lineChart>
      <c:catAx>
        <c:axId val="779780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780624"/>
        <c:crosses val="autoZero"/>
        <c:auto val="1"/>
        <c:lblAlgn val="ctr"/>
        <c:lblOffset val="100"/>
        <c:noMultiLvlLbl val="0"/>
      </c:catAx>
      <c:valAx>
        <c:axId val="779780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780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chart" Target="../charts/chart2.xml"/><Relationship Id="rId4"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chart" Target="../charts/chart3.xml"/><Relationship Id="rId5"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109</xdr:row>
      <xdr:rowOff>0</xdr:rowOff>
    </xdr:from>
    <xdr:to>
      <xdr:col>18</xdr:col>
      <xdr:colOff>236868</xdr:colOff>
      <xdr:row>132</xdr:row>
      <xdr:rowOff>161357</xdr:rowOff>
    </xdr:to>
    <xdr:pic>
      <xdr:nvPicPr>
        <xdr:cNvPr id="6" name="Picture 5">
          <a:extLst>
            <a:ext uri="{FF2B5EF4-FFF2-40B4-BE49-F238E27FC236}">
              <a16:creationId xmlns:a16="http://schemas.microsoft.com/office/drawing/2014/main" id="{006602EF-A412-4264-971E-F70A54314588}"/>
            </a:ext>
          </a:extLst>
        </xdr:cNvPr>
        <xdr:cNvPicPr>
          <a:picLocks noChangeAspect="1"/>
        </xdr:cNvPicPr>
      </xdr:nvPicPr>
      <xdr:blipFill>
        <a:blip xmlns:r="http://schemas.openxmlformats.org/officeDocument/2006/relationships" r:embed="rId1"/>
        <a:stretch>
          <a:fillRect/>
        </a:stretch>
      </xdr:blipFill>
      <xdr:spPr>
        <a:xfrm>
          <a:off x="4267200" y="20764500"/>
          <a:ext cx="10057143" cy="4542857"/>
        </a:xfrm>
        <a:prstGeom prst="rect">
          <a:avLst/>
        </a:prstGeom>
      </xdr:spPr>
    </xdr:pic>
    <xdr:clientData/>
  </xdr:twoCellAnchor>
  <xdr:twoCellAnchor>
    <xdr:from>
      <xdr:col>4</xdr:col>
      <xdr:colOff>1019175</xdr:colOff>
      <xdr:row>11</xdr:row>
      <xdr:rowOff>61912</xdr:rowOff>
    </xdr:from>
    <xdr:to>
      <xdr:col>20</xdr:col>
      <xdr:colOff>190500</xdr:colOff>
      <xdr:row>36</xdr:row>
      <xdr:rowOff>0</xdr:rowOff>
    </xdr:to>
    <xdr:graphicFrame macro="">
      <xdr:nvGraphicFramePr>
        <xdr:cNvPr id="10" name="Chart 9">
          <a:extLst>
            <a:ext uri="{FF2B5EF4-FFF2-40B4-BE49-F238E27FC236}">
              <a16:creationId xmlns:a16="http://schemas.microsoft.com/office/drawing/2014/main" id="{7EF298AF-181A-CA7C-7BC7-BF3F6E7168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0.13993</cdr:x>
      <cdr:y>0.29686</cdr:y>
    </cdr:from>
    <cdr:to>
      <cdr:x>0.48881</cdr:x>
      <cdr:y>0.29686</cdr:y>
    </cdr:to>
    <cdr:cxnSp macro="">
      <cdr:nvCxnSpPr>
        <cdr:cNvPr id="4" name="Straight Connector 3">
          <a:extLst xmlns:a="http://schemas.openxmlformats.org/drawingml/2006/main">
            <a:ext uri="{FF2B5EF4-FFF2-40B4-BE49-F238E27FC236}">
              <a16:creationId xmlns:a16="http://schemas.microsoft.com/office/drawing/2014/main" id="{7277F1F4-D794-A192-AE38-8607E643125B}"/>
            </a:ext>
          </a:extLst>
        </cdr:cNvPr>
        <cdr:cNvCxnSpPr/>
      </cdr:nvCxnSpPr>
      <cdr:spPr>
        <a:xfrm xmlns:a="http://schemas.openxmlformats.org/drawingml/2006/main">
          <a:off x="1428750" y="1395413"/>
          <a:ext cx="3562350" cy="0"/>
        </a:xfrm>
        <a:prstGeom xmlns:a="http://schemas.openxmlformats.org/drawingml/2006/main" prst="line">
          <a:avLst/>
        </a:prstGeom>
      </cdr:spPr>
      <cdr:style>
        <a:lnRef xmlns:a="http://schemas.openxmlformats.org/drawingml/2006/main" idx="1">
          <a:schemeClr val="accent2"/>
        </a:lnRef>
        <a:fillRef xmlns:a="http://schemas.openxmlformats.org/drawingml/2006/main" idx="0">
          <a:schemeClr val="accent2"/>
        </a:fillRef>
        <a:effectRef xmlns:a="http://schemas.openxmlformats.org/drawingml/2006/main" idx="0">
          <a:schemeClr val="accent2"/>
        </a:effectRef>
        <a:fontRef xmlns:a="http://schemas.openxmlformats.org/drawingml/2006/main" idx="minor">
          <a:schemeClr val="tx1"/>
        </a:fontRef>
      </cdr:style>
    </cdr:cxnSp>
  </cdr:relSizeAnchor>
  <cdr:relSizeAnchor xmlns:cdr="http://schemas.openxmlformats.org/drawingml/2006/chartDrawing">
    <cdr:from>
      <cdr:x>0.08116</cdr:x>
      <cdr:y>0.36035</cdr:y>
    </cdr:from>
    <cdr:to>
      <cdr:x>0.71393</cdr:x>
      <cdr:y>0.36035</cdr:y>
    </cdr:to>
    <cdr:cxnSp macro="">
      <cdr:nvCxnSpPr>
        <cdr:cNvPr id="17" name="Straight Connector 16">
          <a:extLst xmlns:a="http://schemas.openxmlformats.org/drawingml/2006/main">
            <a:ext uri="{FF2B5EF4-FFF2-40B4-BE49-F238E27FC236}">
              <a16:creationId xmlns:a16="http://schemas.microsoft.com/office/drawing/2014/main" id="{D61981D0-9549-6C50-1D59-A2BE8AC66ACC}"/>
            </a:ext>
          </a:extLst>
        </cdr:cNvPr>
        <cdr:cNvCxnSpPr/>
      </cdr:nvCxnSpPr>
      <cdr:spPr>
        <a:xfrm xmlns:a="http://schemas.openxmlformats.org/drawingml/2006/main">
          <a:off x="828675" y="1693863"/>
          <a:ext cx="6461125" cy="0"/>
        </a:xfrm>
        <a:prstGeom xmlns:a="http://schemas.openxmlformats.org/drawingml/2006/main" prst="line">
          <a:avLst/>
        </a:prstGeom>
      </cdr:spPr>
      <cdr:style>
        <a:lnRef xmlns:a="http://schemas.openxmlformats.org/drawingml/2006/main" idx="1">
          <a:schemeClr val="accent2"/>
        </a:lnRef>
        <a:fillRef xmlns:a="http://schemas.openxmlformats.org/drawingml/2006/main" idx="0">
          <a:schemeClr val="accent2"/>
        </a:fillRef>
        <a:effectRef xmlns:a="http://schemas.openxmlformats.org/drawingml/2006/main" idx="0">
          <a:schemeClr val="accent2"/>
        </a:effectRef>
        <a:fontRef xmlns:a="http://schemas.openxmlformats.org/drawingml/2006/main" idx="minor">
          <a:schemeClr val="tx1"/>
        </a:fontRef>
      </cdr:style>
    </cdr:cxnSp>
  </cdr:relSizeAnchor>
  <cdr:relSizeAnchor xmlns:cdr="http://schemas.openxmlformats.org/drawingml/2006/chartDrawing">
    <cdr:from>
      <cdr:x>0.26119</cdr:x>
      <cdr:y>0.37994</cdr:y>
    </cdr:from>
    <cdr:to>
      <cdr:x>0.39739</cdr:x>
      <cdr:y>0.44276</cdr:y>
    </cdr:to>
    <cdr:sp macro="" textlink="">
      <cdr:nvSpPr>
        <cdr:cNvPr id="19" name="Rectangle 18">
          <a:extLst xmlns:a="http://schemas.openxmlformats.org/drawingml/2006/main">
            <a:ext uri="{FF2B5EF4-FFF2-40B4-BE49-F238E27FC236}">
              <a16:creationId xmlns:a16="http://schemas.microsoft.com/office/drawing/2014/main" id="{ED1ED513-71F8-A2E2-1CDF-9DEE29336666}"/>
            </a:ext>
          </a:extLst>
        </cdr:cNvPr>
        <cdr:cNvSpPr/>
      </cdr:nvSpPr>
      <cdr:spPr>
        <a:xfrm xmlns:a="http://schemas.openxmlformats.org/drawingml/2006/main">
          <a:off x="2666999" y="1785938"/>
          <a:ext cx="1390651" cy="295275"/>
        </a:xfrm>
        <a:prstGeom xmlns:a="http://schemas.openxmlformats.org/drawingml/2006/main" prst="rect">
          <a:avLst/>
        </a:prstGeom>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vertOverflow="clip"/>
        <a:lstStyle xmlns:a="http://schemas.openxmlformats.org/drawingml/2006/main"/>
        <a:p xmlns:a="http://schemas.openxmlformats.org/drawingml/2006/main">
          <a:r>
            <a:rPr lang="en-US" kern="1200"/>
            <a:t>new</a:t>
          </a:r>
          <a:r>
            <a:rPr lang="en-US" kern="1200" baseline="0"/>
            <a:t> higher baseline</a:t>
          </a:r>
        </a:p>
      </cdr:txBody>
    </cdr:sp>
  </cdr:relSizeAnchor>
  <cdr:relSizeAnchor xmlns:cdr="http://schemas.openxmlformats.org/drawingml/2006/chartDrawing">
    <cdr:from>
      <cdr:x>0.32929</cdr:x>
      <cdr:y>0.29281</cdr:y>
    </cdr:from>
    <cdr:to>
      <cdr:x>0.34142</cdr:x>
      <cdr:y>0.37994</cdr:y>
    </cdr:to>
    <cdr:cxnSp macro="">
      <cdr:nvCxnSpPr>
        <cdr:cNvPr id="21" name="Straight Arrow Connector 20">
          <a:extLst xmlns:a="http://schemas.openxmlformats.org/drawingml/2006/main">
            <a:ext uri="{FF2B5EF4-FFF2-40B4-BE49-F238E27FC236}">
              <a16:creationId xmlns:a16="http://schemas.microsoft.com/office/drawing/2014/main" id="{7C706E32-3082-2447-C941-F4B552C83C4D}"/>
            </a:ext>
          </a:extLst>
        </cdr:cNvPr>
        <cdr:cNvCxnSpPr>
          <a:stCxn xmlns:a="http://schemas.openxmlformats.org/drawingml/2006/main" id="19" idx="0"/>
        </cdr:cNvCxnSpPr>
      </cdr:nvCxnSpPr>
      <cdr:spPr>
        <a:xfrm xmlns:a="http://schemas.openxmlformats.org/drawingml/2006/main" flipV="1">
          <a:off x="3362325" y="1376363"/>
          <a:ext cx="123825" cy="409575"/>
        </a:xfrm>
        <a:prstGeom xmlns:a="http://schemas.openxmlformats.org/drawingml/2006/main" prst="straightConnector1">
          <a:avLst/>
        </a:prstGeom>
        <a:ln xmlns:a="http://schemas.openxmlformats.org/drawingml/2006/main">
          <a:tailEnd type="triangle"/>
        </a:ln>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cxnSp>
  </cdr:relSizeAnchor>
  <cdr:relSizeAnchor xmlns:cdr="http://schemas.openxmlformats.org/drawingml/2006/chartDrawing">
    <cdr:from>
      <cdr:x>0.46113</cdr:x>
      <cdr:y>0.48294</cdr:y>
    </cdr:from>
    <cdr:to>
      <cdr:x>0.79944</cdr:x>
      <cdr:y>0.54576</cdr:y>
    </cdr:to>
    <cdr:sp macro="" textlink="">
      <cdr:nvSpPr>
        <cdr:cNvPr id="23" name="Rectangle 22">
          <a:extLst xmlns:a="http://schemas.openxmlformats.org/drawingml/2006/main">
            <a:ext uri="{FF2B5EF4-FFF2-40B4-BE49-F238E27FC236}">
              <a16:creationId xmlns:a16="http://schemas.microsoft.com/office/drawing/2014/main" id="{0F1E1EC5-6594-7B82-7965-879731727417}"/>
            </a:ext>
          </a:extLst>
        </cdr:cNvPr>
        <cdr:cNvSpPr/>
      </cdr:nvSpPr>
      <cdr:spPr>
        <a:xfrm xmlns:a="http://schemas.openxmlformats.org/drawingml/2006/main">
          <a:off x="4708525" y="2270125"/>
          <a:ext cx="3454400" cy="295275"/>
        </a:xfrm>
        <a:prstGeom xmlns:a="http://schemas.openxmlformats.org/drawingml/2006/main" prst="rect">
          <a:avLst/>
        </a:prstGeom>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kern="1200"/>
            <a:t>mortality is getting</a:t>
          </a:r>
          <a:r>
            <a:rPr lang="en-US" kern="1200" baseline="0"/>
            <a:t> closer to original baseline mortality</a:t>
          </a:r>
        </a:p>
      </cdr:txBody>
    </cdr:sp>
  </cdr:relSizeAnchor>
  <cdr:relSizeAnchor xmlns:cdr="http://schemas.openxmlformats.org/drawingml/2006/chartDrawing">
    <cdr:from>
      <cdr:x>0.55877</cdr:x>
      <cdr:y>0.35968</cdr:y>
    </cdr:from>
    <cdr:to>
      <cdr:x>0.60821</cdr:x>
      <cdr:y>0.47923</cdr:y>
    </cdr:to>
    <cdr:cxnSp macro="">
      <cdr:nvCxnSpPr>
        <cdr:cNvPr id="24" name="Straight Arrow Connector 23">
          <a:extLst xmlns:a="http://schemas.openxmlformats.org/drawingml/2006/main">
            <a:ext uri="{FF2B5EF4-FFF2-40B4-BE49-F238E27FC236}">
              <a16:creationId xmlns:a16="http://schemas.microsoft.com/office/drawing/2014/main" id="{DEDF466E-CBAB-9DFF-88E8-27D05B337B1B}"/>
            </a:ext>
          </a:extLst>
        </cdr:cNvPr>
        <cdr:cNvCxnSpPr/>
      </cdr:nvCxnSpPr>
      <cdr:spPr>
        <a:xfrm xmlns:a="http://schemas.openxmlformats.org/drawingml/2006/main" flipH="1" flipV="1">
          <a:off x="5705475" y="1690688"/>
          <a:ext cx="504825" cy="561975"/>
        </a:xfrm>
        <a:prstGeom xmlns:a="http://schemas.openxmlformats.org/drawingml/2006/main" prst="straightConnector1">
          <a:avLst/>
        </a:prstGeom>
        <a:ln xmlns:a="http://schemas.openxmlformats.org/drawingml/2006/main">
          <a:tailEnd type="triangle"/>
        </a:ln>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cxnSp>
  </cdr:relSizeAnchor>
  <cdr:relSizeAnchor xmlns:cdr="http://schemas.openxmlformats.org/drawingml/2006/chartDrawing">
    <cdr:from>
      <cdr:x>0.07121</cdr:x>
      <cdr:y>0.45019</cdr:y>
    </cdr:from>
    <cdr:to>
      <cdr:x>0.70398</cdr:x>
      <cdr:y>0.45019</cdr:y>
    </cdr:to>
    <cdr:cxnSp macro="">
      <cdr:nvCxnSpPr>
        <cdr:cNvPr id="27" name="Straight Connector 26">
          <a:extLst xmlns:a="http://schemas.openxmlformats.org/drawingml/2006/main">
            <a:ext uri="{FF2B5EF4-FFF2-40B4-BE49-F238E27FC236}">
              <a16:creationId xmlns:a16="http://schemas.microsoft.com/office/drawing/2014/main" id="{0D9C9D34-0E45-6A64-8FDF-971FED127FF2}"/>
            </a:ext>
          </a:extLst>
        </cdr:cNvPr>
        <cdr:cNvCxnSpPr/>
      </cdr:nvCxnSpPr>
      <cdr:spPr>
        <a:xfrm xmlns:a="http://schemas.openxmlformats.org/drawingml/2006/main">
          <a:off x="727075" y="2116138"/>
          <a:ext cx="6461125" cy="0"/>
        </a:xfrm>
        <a:prstGeom xmlns:a="http://schemas.openxmlformats.org/drawingml/2006/main" prst="line">
          <a:avLst/>
        </a:prstGeom>
      </cdr:spPr>
      <cdr:style>
        <a:lnRef xmlns:a="http://schemas.openxmlformats.org/drawingml/2006/main" idx="1">
          <a:schemeClr val="accent2"/>
        </a:lnRef>
        <a:fillRef xmlns:a="http://schemas.openxmlformats.org/drawingml/2006/main" idx="0">
          <a:schemeClr val="accent2"/>
        </a:fillRef>
        <a:effectRef xmlns:a="http://schemas.openxmlformats.org/drawingml/2006/main" idx="0">
          <a:schemeClr val="accent2"/>
        </a:effectRef>
        <a:fontRef xmlns:a="http://schemas.openxmlformats.org/drawingml/2006/main" idx="minor">
          <a:schemeClr val="tx1"/>
        </a:fontRef>
      </cdr:style>
    </cdr:cxnSp>
  </cdr:relSizeAnchor>
  <cdr:relSizeAnchor xmlns:cdr="http://schemas.openxmlformats.org/drawingml/2006/chartDrawing">
    <cdr:from>
      <cdr:x>0.07649</cdr:x>
      <cdr:y>0.564</cdr:y>
    </cdr:from>
    <cdr:to>
      <cdr:x>0.22108</cdr:x>
      <cdr:y>0.65755</cdr:y>
    </cdr:to>
    <cdr:sp macro="" textlink="">
      <cdr:nvSpPr>
        <cdr:cNvPr id="28" name="Rectangle 27">
          <a:extLst xmlns:a="http://schemas.openxmlformats.org/drawingml/2006/main">
            <a:ext uri="{FF2B5EF4-FFF2-40B4-BE49-F238E27FC236}">
              <a16:creationId xmlns:a16="http://schemas.microsoft.com/office/drawing/2014/main" id="{4C8BAB50-0BB1-23F0-BC0D-DF0F61114F95}"/>
            </a:ext>
          </a:extLst>
        </cdr:cNvPr>
        <cdr:cNvSpPr/>
      </cdr:nvSpPr>
      <cdr:spPr>
        <a:xfrm xmlns:a="http://schemas.openxmlformats.org/drawingml/2006/main">
          <a:off x="781051" y="2651125"/>
          <a:ext cx="1476374" cy="439738"/>
        </a:xfrm>
        <a:prstGeom xmlns:a="http://schemas.openxmlformats.org/drawingml/2006/main" prst="rect">
          <a:avLst/>
        </a:prstGeom>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kern="1200" baseline="0"/>
            <a:t>HVE is over: baseline mortality of cohort</a:t>
          </a:r>
        </a:p>
      </cdr:txBody>
    </cdr:sp>
  </cdr:relSizeAnchor>
  <cdr:relSizeAnchor xmlns:cdr="http://schemas.openxmlformats.org/drawingml/2006/chartDrawing">
    <cdr:from>
      <cdr:x>0.14708</cdr:x>
      <cdr:y>0.45458</cdr:y>
    </cdr:from>
    <cdr:to>
      <cdr:x>0.14739</cdr:x>
      <cdr:y>0.56231</cdr:y>
    </cdr:to>
    <cdr:cxnSp macro="">
      <cdr:nvCxnSpPr>
        <cdr:cNvPr id="29" name="Straight Arrow Connector 28">
          <a:extLst xmlns:a="http://schemas.openxmlformats.org/drawingml/2006/main">
            <a:ext uri="{FF2B5EF4-FFF2-40B4-BE49-F238E27FC236}">
              <a16:creationId xmlns:a16="http://schemas.microsoft.com/office/drawing/2014/main" id="{27211E71-28B9-37A7-EE37-A6CC8D3E2C8B}"/>
            </a:ext>
          </a:extLst>
        </cdr:cNvPr>
        <cdr:cNvCxnSpPr/>
      </cdr:nvCxnSpPr>
      <cdr:spPr>
        <a:xfrm xmlns:a="http://schemas.openxmlformats.org/drawingml/2006/main" flipV="1">
          <a:off x="1501775" y="2136775"/>
          <a:ext cx="3176" cy="506413"/>
        </a:xfrm>
        <a:prstGeom xmlns:a="http://schemas.openxmlformats.org/drawingml/2006/main" prst="straightConnector1">
          <a:avLst/>
        </a:prstGeom>
        <a:ln xmlns:a="http://schemas.openxmlformats.org/drawingml/2006/main">
          <a:tailEnd type="triangle"/>
        </a:ln>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cxnSp>
  </cdr:relSizeAnchor>
</c:userShapes>
</file>

<file path=xl/drawings/drawing3.xml><?xml version="1.0" encoding="utf-8"?>
<xdr:wsDr xmlns:xdr="http://schemas.openxmlformats.org/drawingml/2006/spreadsheetDrawing" xmlns:a="http://schemas.openxmlformats.org/drawingml/2006/main">
  <xdr:twoCellAnchor editAs="oneCell">
    <xdr:from>
      <xdr:col>3</xdr:col>
      <xdr:colOff>85725</xdr:colOff>
      <xdr:row>84</xdr:row>
      <xdr:rowOff>0</xdr:rowOff>
    </xdr:from>
    <xdr:to>
      <xdr:col>18</xdr:col>
      <xdr:colOff>236868</xdr:colOff>
      <xdr:row>107</xdr:row>
      <xdr:rowOff>189929</xdr:rowOff>
    </xdr:to>
    <xdr:pic>
      <xdr:nvPicPr>
        <xdr:cNvPr id="3" name="Picture 2">
          <a:extLst>
            <a:ext uri="{FF2B5EF4-FFF2-40B4-BE49-F238E27FC236}">
              <a16:creationId xmlns:a16="http://schemas.microsoft.com/office/drawing/2014/main" id="{CE6F56EC-C8B4-42F8-99DE-4A69A888A540}"/>
            </a:ext>
          </a:extLst>
        </xdr:cNvPr>
        <xdr:cNvPicPr>
          <a:picLocks noChangeAspect="1"/>
        </xdr:cNvPicPr>
      </xdr:nvPicPr>
      <xdr:blipFill>
        <a:blip xmlns:r="http://schemas.openxmlformats.org/officeDocument/2006/relationships" r:embed="rId1"/>
        <a:stretch>
          <a:fillRect/>
        </a:stretch>
      </xdr:blipFill>
      <xdr:spPr>
        <a:xfrm>
          <a:off x="2952750" y="16002000"/>
          <a:ext cx="10057143" cy="4571429"/>
        </a:xfrm>
        <a:prstGeom prst="rect">
          <a:avLst/>
        </a:prstGeom>
      </xdr:spPr>
    </xdr:pic>
    <xdr:clientData/>
  </xdr:twoCellAnchor>
  <xdr:twoCellAnchor editAs="oneCell">
    <xdr:from>
      <xdr:col>3</xdr:col>
      <xdr:colOff>0</xdr:colOff>
      <xdr:row>60</xdr:row>
      <xdr:rowOff>0</xdr:rowOff>
    </xdr:from>
    <xdr:to>
      <xdr:col>18</xdr:col>
      <xdr:colOff>198762</xdr:colOff>
      <xdr:row>83</xdr:row>
      <xdr:rowOff>151833</xdr:rowOff>
    </xdr:to>
    <xdr:pic>
      <xdr:nvPicPr>
        <xdr:cNvPr id="4" name="Picture 3">
          <a:extLst>
            <a:ext uri="{FF2B5EF4-FFF2-40B4-BE49-F238E27FC236}">
              <a16:creationId xmlns:a16="http://schemas.microsoft.com/office/drawing/2014/main" id="{5411EA5E-ED1B-4DDE-A12B-9FB1BA969E7A}"/>
            </a:ext>
          </a:extLst>
        </xdr:cNvPr>
        <xdr:cNvPicPr>
          <a:picLocks noChangeAspect="1"/>
        </xdr:cNvPicPr>
      </xdr:nvPicPr>
      <xdr:blipFill>
        <a:blip xmlns:r="http://schemas.openxmlformats.org/officeDocument/2006/relationships" r:embed="rId2"/>
        <a:stretch>
          <a:fillRect/>
        </a:stretch>
      </xdr:blipFill>
      <xdr:spPr>
        <a:xfrm>
          <a:off x="2867025" y="11430000"/>
          <a:ext cx="10104762" cy="4533333"/>
        </a:xfrm>
        <a:prstGeom prst="rect">
          <a:avLst/>
        </a:prstGeom>
      </xdr:spPr>
    </xdr:pic>
    <xdr:clientData/>
  </xdr:twoCellAnchor>
  <xdr:twoCellAnchor editAs="oneCell">
    <xdr:from>
      <xdr:col>2</xdr:col>
      <xdr:colOff>990600</xdr:colOff>
      <xdr:row>36</xdr:row>
      <xdr:rowOff>76200</xdr:rowOff>
    </xdr:from>
    <xdr:to>
      <xdr:col>18</xdr:col>
      <xdr:colOff>113048</xdr:colOff>
      <xdr:row>60</xdr:row>
      <xdr:rowOff>18486</xdr:rowOff>
    </xdr:to>
    <xdr:pic>
      <xdr:nvPicPr>
        <xdr:cNvPr id="5" name="Picture 4">
          <a:extLst>
            <a:ext uri="{FF2B5EF4-FFF2-40B4-BE49-F238E27FC236}">
              <a16:creationId xmlns:a16="http://schemas.microsoft.com/office/drawing/2014/main" id="{5261D10C-2BF4-4EB4-8A0D-7DE30752462A}"/>
            </a:ext>
          </a:extLst>
        </xdr:cNvPr>
        <xdr:cNvPicPr>
          <a:picLocks noChangeAspect="1"/>
        </xdr:cNvPicPr>
      </xdr:nvPicPr>
      <xdr:blipFill>
        <a:blip xmlns:r="http://schemas.openxmlformats.org/officeDocument/2006/relationships" r:embed="rId3"/>
        <a:stretch>
          <a:fillRect/>
        </a:stretch>
      </xdr:blipFill>
      <xdr:spPr>
        <a:xfrm>
          <a:off x="2847975" y="6934200"/>
          <a:ext cx="10019048" cy="4514286"/>
        </a:xfrm>
        <a:prstGeom prst="rect">
          <a:avLst/>
        </a:prstGeom>
      </xdr:spPr>
    </xdr:pic>
    <xdr:clientData/>
  </xdr:twoCellAnchor>
  <xdr:twoCellAnchor editAs="oneCell">
    <xdr:from>
      <xdr:col>3</xdr:col>
      <xdr:colOff>0</xdr:colOff>
      <xdr:row>109</xdr:row>
      <xdr:rowOff>0</xdr:rowOff>
    </xdr:from>
    <xdr:to>
      <xdr:col>18</xdr:col>
      <xdr:colOff>151143</xdr:colOff>
      <xdr:row>132</xdr:row>
      <xdr:rowOff>161357</xdr:rowOff>
    </xdr:to>
    <xdr:pic>
      <xdr:nvPicPr>
        <xdr:cNvPr id="6" name="Picture 5">
          <a:extLst>
            <a:ext uri="{FF2B5EF4-FFF2-40B4-BE49-F238E27FC236}">
              <a16:creationId xmlns:a16="http://schemas.microsoft.com/office/drawing/2014/main" id="{479C980B-B2D9-48AE-B162-CBD5029B0DF8}"/>
            </a:ext>
          </a:extLst>
        </xdr:cNvPr>
        <xdr:cNvPicPr>
          <a:picLocks noChangeAspect="1"/>
        </xdr:cNvPicPr>
      </xdr:nvPicPr>
      <xdr:blipFill>
        <a:blip xmlns:r="http://schemas.openxmlformats.org/officeDocument/2006/relationships" r:embed="rId4"/>
        <a:stretch>
          <a:fillRect/>
        </a:stretch>
      </xdr:blipFill>
      <xdr:spPr>
        <a:xfrm>
          <a:off x="2867025" y="20764500"/>
          <a:ext cx="10057143" cy="4542857"/>
        </a:xfrm>
        <a:prstGeom prst="rect">
          <a:avLst/>
        </a:prstGeom>
      </xdr:spPr>
    </xdr:pic>
    <xdr:clientData/>
  </xdr:twoCellAnchor>
  <xdr:twoCellAnchor>
    <xdr:from>
      <xdr:col>3</xdr:col>
      <xdr:colOff>800099</xdr:colOff>
      <xdr:row>5</xdr:row>
      <xdr:rowOff>80961</xdr:rowOff>
    </xdr:from>
    <xdr:to>
      <xdr:col>20</xdr:col>
      <xdr:colOff>495300</xdr:colOff>
      <xdr:row>34</xdr:row>
      <xdr:rowOff>104774</xdr:rowOff>
    </xdr:to>
    <xdr:graphicFrame macro="">
      <xdr:nvGraphicFramePr>
        <xdr:cNvPr id="7" name="Chart 6">
          <a:extLst>
            <a:ext uri="{FF2B5EF4-FFF2-40B4-BE49-F238E27FC236}">
              <a16:creationId xmlns:a16="http://schemas.microsoft.com/office/drawing/2014/main" id="{F8152BCA-7CDE-F774-9A28-B69F39928B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9525</xdr:colOff>
      <xdr:row>10</xdr:row>
      <xdr:rowOff>128586</xdr:rowOff>
    </xdr:from>
    <xdr:to>
      <xdr:col>20</xdr:col>
      <xdr:colOff>19049</xdr:colOff>
      <xdr:row>34</xdr:row>
      <xdr:rowOff>47625</xdr:rowOff>
    </xdr:to>
    <xdr:graphicFrame macro="">
      <xdr:nvGraphicFramePr>
        <xdr:cNvPr id="2" name="Chart 1">
          <a:extLst>
            <a:ext uri="{FF2B5EF4-FFF2-40B4-BE49-F238E27FC236}">
              <a16:creationId xmlns:a16="http://schemas.microsoft.com/office/drawing/2014/main" id="{C9CEE662-4EE7-1E02-52FF-582EF239A4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85725</xdr:colOff>
      <xdr:row>84</xdr:row>
      <xdr:rowOff>0</xdr:rowOff>
    </xdr:from>
    <xdr:to>
      <xdr:col>18</xdr:col>
      <xdr:colOff>322593</xdr:colOff>
      <xdr:row>107</xdr:row>
      <xdr:rowOff>189929</xdr:rowOff>
    </xdr:to>
    <xdr:pic>
      <xdr:nvPicPr>
        <xdr:cNvPr id="3" name="Picture 2">
          <a:extLst>
            <a:ext uri="{FF2B5EF4-FFF2-40B4-BE49-F238E27FC236}">
              <a16:creationId xmlns:a16="http://schemas.microsoft.com/office/drawing/2014/main" id="{07042863-19E3-3FD1-13F7-9EF76A7CC8CA}"/>
            </a:ext>
          </a:extLst>
        </xdr:cNvPr>
        <xdr:cNvPicPr>
          <a:picLocks noChangeAspect="1"/>
        </xdr:cNvPicPr>
      </xdr:nvPicPr>
      <xdr:blipFill>
        <a:blip xmlns:r="http://schemas.openxmlformats.org/officeDocument/2006/relationships" r:embed="rId2"/>
        <a:stretch>
          <a:fillRect/>
        </a:stretch>
      </xdr:blipFill>
      <xdr:spPr>
        <a:xfrm>
          <a:off x="2952750" y="16002000"/>
          <a:ext cx="10057143" cy="4571429"/>
        </a:xfrm>
        <a:prstGeom prst="rect">
          <a:avLst/>
        </a:prstGeom>
      </xdr:spPr>
    </xdr:pic>
    <xdr:clientData/>
  </xdr:twoCellAnchor>
  <xdr:twoCellAnchor editAs="oneCell">
    <xdr:from>
      <xdr:col>4</xdr:col>
      <xdr:colOff>0</xdr:colOff>
      <xdr:row>60</xdr:row>
      <xdr:rowOff>0</xdr:rowOff>
    </xdr:from>
    <xdr:to>
      <xdr:col>18</xdr:col>
      <xdr:colOff>284487</xdr:colOff>
      <xdr:row>83</xdr:row>
      <xdr:rowOff>151833</xdr:rowOff>
    </xdr:to>
    <xdr:pic>
      <xdr:nvPicPr>
        <xdr:cNvPr id="4" name="Picture 3">
          <a:extLst>
            <a:ext uri="{FF2B5EF4-FFF2-40B4-BE49-F238E27FC236}">
              <a16:creationId xmlns:a16="http://schemas.microsoft.com/office/drawing/2014/main" id="{1094C3A9-9A51-7C16-8453-B52F1415F9B6}"/>
            </a:ext>
          </a:extLst>
        </xdr:cNvPr>
        <xdr:cNvPicPr>
          <a:picLocks noChangeAspect="1"/>
        </xdr:cNvPicPr>
      </xdr:nvPicPr>
      <xdr:blipFill>
        <a:blip xmlns:r="http://schemas.openxmlformats.org/officeDocument/2006/relationships" r:embed="rId3"/>
        <a:stretch>
          <a:fillRect/>
        </a:stretch>
      </xdr:blipFill>
      <xdr:spPr>
        <a:xfrm>
          <a:off x="2867025" y="11430000"/>
          <a:ext cx="10104762" cy="4533333"/>
        </a:xfrm>
        <a:prstGeom prst="rect">
          <a:avLst/>
        </a:prstGeom>
      </xdr:spPr>
    </xdr:pic>
    <xdr:clientData/>
  </xdr:twoCellAnchor>
  <xdr:twoCellAnchor editAs="oneCell">
    <xdr:from>
      <xdr:col>4</xdr:col>
      <xdr:colOff>9525</xdr:colOff>
      <xdr:row>36</xdr:row>
      <xdr:rowOff>19050</xdr:rowOff>
    </xdr:from>
    <xdr:to>
      <xdr:col>18</xdr:col>
      <xdr:colOff>208298</xdr:colOff>
      <xdr:row>59</xdr:row>
      <xdr:rowOff>151836</xdr:rowOff>
    </xdr:to>
    <xdr:pic>
      <xdr:nvPicPr>
        <xdr:cNvPr id="5" name="Picture 4">
          <a:extLst>
            <a:ext uri="{FF2B5EF4-FFF2-40B4-BE49-F238E27FC236}">
              <a16:creationId xmlns:a16="http://schemas.microsoft.com/office/drawing/2014/main" id="{D53E4BEB-C891-4BEA-C7A0-D222CA08735E}"/>
            </a:ext>
          </a:extLst>
        </xdr:cNvPr>
        <xdr:cNvPicPr>
          <a:picLocks noChangeAspect="1"/>
        </xdr:cNvPicPr>
      </xdr:nvPicPr>
      <xdr:blipFill>
        <a:blip xmlns:r="http://schemas.openxmlformats.org/officeDocument/2006/relationships" r:embed="rId4"/>
        <a:stretch>
          <a:fillRect/>
        </a:stretch>
      </xdr:blipFill>
      <xdr:spPr>
        <a:xfrm>
          <a:off x="4276725" y="6877050"/>
          <a:ext cx="10019048" cy="4514286"/>
        </a:xfrm>
        <a:prstGeom prst="rect">
          <a:avLst/>
        </a:prstGeom>
      </xdr:spPr>
    </xdr:pic>
    <xdr:clientData/>
  </xdr:twoCellAnchor>
  <xdr:twoCellAnchor editAs="oneCell">
    <xdr:from>
      <xdr:col>4</xdr:col>
      <xdr:colOff>0</xdr:colOff>
      <xdr:row>109</xdr:row>
      <xdr:rowOff>0</xdr:rowOff>
    </xdr:from>
    <xdr:to>
      <xdr:col>18</xdr:col>
      <xdr:colOff>236868</xdr:colOff>
      <xdr:row>132</xdr:row>
      <xdr:rowOff>161357</xdr:rowOff>
    </xdr:to>
    <xdr:pic>
      <xdr:nvPicPr>
        <xdr:cNvPr id="6" name="Picture 5">
          <a:extLst>
            <a:ext uri="{FF2B5EF4-FFF2-40B4-BE49-F238E27FC236}">
              <a16:creationId xmlns:a16="http://schemas.microsoft.com/office/drawing/2014/main" id="{32A1009F-A73F-7C63-2581-2277FFE83A1E}"/>
            </a:ext>
          </a:extLst>
        </xdr:cNvPr>
        <xdr:cNvPicPr>
          <a:picLocks noChangeAspect="1"/>
        </xdr:cNvPicPr>
      </xdr:nvPicPr>
      <xdr:blipFill>
        <a:blip xmlns:r="http://schemas.openxmlformats.org/officeDocument/2006/relationships" r:embed="rId5"/>
        <a:stretch>
          <a:fillRect/>
        </a:stretch>
      </xdr:blipFill>
      <xdr:spPr>
        <a:xfrm>
          <a:off x="2867025" y="20764500"/>
          <a:ext cx="10057143" cy="4542857"/>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teve Kirsch" refreshedDate="45963.610162500001" backgroundQuery="1" createdVersion="8" refreshedVersion="8" minRefreshableVersion="3" recordCount="0" supportSubquery="1" supportAdvancedDrill="1" xr:uid="{F9E1BAB8-2121-4FB7-AE87-DEFBAF796751}">
  <cacheSource type="external" connectionId="2"/>
  <cacheFields count="4">
    <cacheField name="[TimeSeries].[dose].[dose]" caption="dose" numFmtId="0" level="1">
      <sharedItems containsSemiMixedTypes="0" containsNonDate="0" containsString="0"/>
    </cacheField>
    <cacheField name="[TimeSeries].[Decade_of_Birth].[Decade_of_Birth]" caption="Decade_of_Birth" numFmtId="0" hierarchy="1" level="1">
      <sharedItems containsSemiMixedTypes="0" containsNonDate="0" containsString="0"/>
    </cacheField>
    <cacheField name="[Measures].[Sum of h(t)]" caption="Sum of h(t)" numFmtId="0" hierarchy="9" level="32767"/>
    <cacheField name="[TimeSeries].[week_after_dose].[week_after_dose]" caption="week_after_dose" numFmtId="0" hierarchy="2" level="1">
      <sharedItems containsSemiMixedTypes="0" containsString="0" containsNumber="1" containsInteger="1" minValue="0" maxValue="200" count="201">
        <n v="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sharedItems>
      <extLst>
        <ext xmlns:x15="http://schemas.microsoft.com/office/spreadsheetml/2010/11/main" uri="{4F2E5C28-24EA-4eb8-9CBF-B6C8F9C3D259}">
          <x15:cachedUniqueNames>
            <x15:cachedUniqueName index="0" name="[TimeSeries].[week_after_dose].&amp;[0]"/>
            <x15:cachedUniqueName index="1" name="[TimeSeries].[week_after_dose].&amp;[1]"/>
            <x15:cachedUniqueName index="2" name="[TimeSeries].[week_after_dose].&amp;[2]"/>
            <x15:cachedUniqueName index="3" name="[TimeSeries].[week_after_dose].&amp;[3]"/>
            <x15:cachedUniqueName index="4" name="[TimeSeries].[week_after_dose].&amp;[4]"/>
            <x15:cachedUniqueName index="5" name="[TimeSeries].[week_after_dose].&amp;[5]"/>
            <x15:cachedUniqueName index="6" name="[TimeSeries].[week_after_dose].&amp;[6]"/>
            <x15:cachedUniqueName index="7" name="[TimeSeries].[week_after_dose].&amp;[7]"/>
            <x15:cachedUniqueName index="8" name="[TimeSeries].[week_after_dose].&amp;[8]"/>
            <x15:cachedUniqueName index="9" name="[TimeSeries].[week_after_dose].&amp;[9]"/>
            <x15:cachedUniqueName index="10" name="[TimeSeries].[week_after_dose].&amp;[10]"/>
            <x15:cachedUniqueName index="11" name="[TimeSeries].[week_after_dose].&amp;[11]"/>
            <x15:cachedUniqueName index="12" name="[TimeSeries].[week_after_dose].&amp;[12]"/>
            <x15:cachedUniqueName index="13" name="[TimeSeries].[week_after_dose].&amp;[13]"/>
            <x15:cachedUniqueName index="14" name="[TimeSeries].[week_after_dose].&amp;[14]"/>
            <x15:cachedUniqueName index="15" name="[TimeSeries].[week_after_dose].&amp;[15]"/>
            <x15:cachedUniqueName index="16" name="[TimeSeries].[week_after_dose].&amp;[16]"/>
            <x15:cachedUniqueName index="17" name="[TimeSeries].[week_after_dose].&amp;[17]"/>
            <x15:cachedUniqueName index="18" name="[TimeSeries].[week_after_dose].&amp;[18]"/>
            <x15:cachedUniqueName index="19" name="[TimeSeries].[week_after_dose].&amp;[19]"/>
            <x15:cachedUniqueName index="20" name="[TimeSeries].[week_after_dose].&amp;[20]"/>
            <x15:cachedUniqueName index="21" name="[TimeSeries].[week_after_dose].&amp;[21]"/>
            <x15:cachedUniqueName index="22" name="[TimeSeries].[week_after_dose].&amp;[22]"/>
            <x15:cachedUniqueName index="23" name="[TimeSeries].[week_after_dose].&amp;[23]"/>
            <x15:cachedUniqueName index="24" name="[TimeSeries].[week_after_dose].&amp;[24]"/>
            <x15:cachedUniqueName index="25" name="[TimeSeries].[week_after_dose].&amp;[25]"/>
            <x15:cachedUniqueName index="26" name="[TimeSeries].[week_after_dose].&amp;[26]"/>
            <x15:cachedUniqueName index="27" name="[TimeSeries].[week_after_dose].&amp;[27]"/>
            <x15:cachedUniqueName index="28" name="[TimeSeries].[week_after_dose].&amp;[28]"/>
            <x15:cachedUniqueName index="29" name="[TimeSeries].[week_after_dose].&amp;[29]"/>
            <x15:cachedUniqueName index="30" name="[TimeSeries].[week_after_dose].&amp;[30]"/>
            <x15:cachedUniqueName index="31" name="[TimeSeries].[week_after_dose].&amp;[31]"/>
            <x15:cachedUniqueName index="32" name="[TimeSeries].[week_after_dose].&amp;[32]"/>
            <x15:cachedUniqueName index="33" name="[TimeSeries].[week_after_dose].&amp;[33]"/>
            <x15:cachedUniqueName index="34" name="[TimeSeries].[week_after_dose].&amp;[34]"/>
            <x15:cachedUniqueName index="35" name="[TimeSeries].[week_after_dose].&amp;[35]"/>
            <x15:cachedUniqueName index="36" name="[TimeSeries].[week_after_dose].&amp;[36]"/>
            <x15:cachedUniqueName index="37" name="[TimeSeries].[week_after_dose].&amp;[37]"/>
            <x15:cachedUniqueName index="38" name="[TimeSeries].[week_after_dose].&amp;[38]"/>
            <x15:cachedUniqueName index="39" name="[TimeSeries].[week_after_dose].&amp;[39]"/>
            <x15:cachedUniqueName index="40" name="[TimeSeries].[week_after_dose].&amp;[40]"/>
            <x15:cachedUniqueName index="41" name="[TimeSeries].[week_after_dose].&amp;[41]"/>
            <x15:cachedUniqueName index="42" name="[TimeSeries].[week_after_dose].&amp;[42]"/>
            <x15:cachedUniqueName index="43" name="[TimeSeries].[week_after_dose].&amp;[43]"/>
            <x15:cachedUniqueName index="44" name="[TimeSeries].[week_after_dose].&amp;[44]"/>
            <x15:cachedUniqueName index="45" name="[TimeSeries].[week_after_dose].&amp;[45]"/>
            <x15:cachedUniqueName index="46" name="[TimeSeries].[week_after_dose].&amp;[46]"/>
            <x15:cachedUniqueName index="47" name="[TimeSeries].[week_after_dose].&amp;[47]"/>
            <x15:cachedUniqueName index="48" name="[TimeSeries].[week_after_dose].&amp;[48]"/>
            <x15:cachedUniqueName index="49" name="[TimeSeries].[week_after_dose].&amp;[49]"/>
            <x15:cachedUniqueName index="50" name="[TimeSeries].[week_after_dose].&amp;[50]"/>
            <x15:cachedUniqueName index="51" name="[TimeSeries].[week_after_dose].&amp;[51]"/>
            <x15:cachedUniqueName index="52" name="[TimeSeries].[week_after_dose].&amp;[52]"/>
            <x15:cachedUniqueName index="53" name="[TimeSeries].[week_after_dose].&amp;[53]"/>
            <x15:cachedUniqueName index="54" name="[TimeSeries].[week_after_dose].&amp;[54]"/>
            <x15:cachedUniqueName index="55" name="[TimeSeries].[week_after_dose].&amp;[55]"/>
            <x15:cachedUniqueName index="56" name="[TimeSeries].[week_after_dose].&amp;[56]"/>
            <x15:cachedUniqueName index="57" name="[TimeSeries].[week_after_dose].&amp;[57]"/>
            <x15:cachedUniqueName index="58" name="[TimeSeries].[week_after_dose].&amp;[58]"/>
            <x15:cachedUniqueName index="59" name="[TimeSeries].[week_after_dose].&amp;[59]"/>
            <x15:cachedUniqueName index="60" name="[TimeSeries].[week_after_dose].&amp;[60]"/>
            <x15:cachedUniqueName index="61" name="[TimeSeries].[week_after_dose].&amp;[61]"/>
            <x15:cachedUniqueName index="62" name="[TimeSeries].[week_after_dose].&amp;[62]"/>
            <x15:cachedUniqueName index="63" name="[TimeSeries].[week_after_dose].&amp;[63]"/>
            <x15:cachedUniqueName index="64" name="[TimeSeries].[week_after_dose].&amp;[64]"/>
            <x15:cachedUniqueName index="65" name="[TimeSeries].[week_after_dose].&amp;[65]"/>
            <x15:cachedUniqueName index="66" name="[TimeSeries].[week_after_dose].&amp;[66]"/>
            <x15:cachedUniqueName index="67" name="[TimeSeries].[week_after_dose].&amp;[67]"/>
            <x15:cachedUniqueName index="68" name="[TimeSeries].[week_after_dose].&amp;[68]"/>
            <x15:cachedUniqueName index="69" name="[TimeSeries].[week_after_dose].&amp;[69]"/>
            <x15:cachedUniqueName index="70" name="[TimeSeries].[week_after_dose].&amp;[70]"/>
            <x15:cachedUniqueName index="71" name="[TimeSeries].[week_after_dose].&amp;[71]"/>
            <x15:cachedUniqueName index="72" name="[TimeSeries].[week_after_dose].&amp;[72]"/>
            <x15:cachedUniqueName index="73" name="[TimeSeries].[week_after_dose].&amp;[73]"/>
            <x15:cachedUniqueName index="74" name="[TimeSeries].[week_after_dose].&amp;[74]"/>
            <x15:cachedUniqueName index="75" name="[TimeSeries].[week_after_dose].&amp;[75]"/>
            <x15:cachedUniqueName index="76" name="[TimeSeries].[week_after_dose].&amp;[76]"/>
            <x15:cachedUniqueName index="77" name="[TimeSeries].[week_after_dose].&amp;[77]"/>
            <x15:cachedUniqueName index="78" name="[TimeSeries].[week_after_dose].&amp;[78]"/>
            <x15:cachedUniqueName index="79" name="[TimeSeries].[week_after_dose].&amp;[79]"/>
            <x15:cachedUniqueName index="80" name="[TimeSeries].[week_after_dose].&amp;[80]"/>
            <x15:cachedUniqueName index="81" name="[TimeSeries].[week_after_dose].&amp;[81]"/>
            <x15:cachedUniqueName index="82" name="[TimeSeries].[week_after_dose].&amp;[82]"/>
            <x15:cachedUniqueName index="83" name="[TimeSeries].[week_after_dose].&amp;[83]"/>
            <x15:cachedUniqueName index="84" name="[TimeSeries].[week_after_dose].&amp;[84]"/>
            <x15:cachedUniqueName index="85" name="[TimeSeries].[week_after_dose].&amp;[85]"/>
            <x15:cachedUniqueName index="86" name="[TimeSeries].[week_after_dose].&amp;[86]"/>
            <x15:cachedUniqueName index="87" name="[TimeSeries].[week_after_dose].&amp;[87]"/>
            <x15:cachedUniqueName index="88" name="[TimeSeries].[week_after_dose].&amp;[88]"/>
            <x15:cachedUniqueName index="89" name="[TimeSeries].[week_after_dose].&amp;[89]"/>
            <x15:cachedUniqueName index="90" name="[TimeSeries].[week_after_dose].&amp;[90]"/>
            <x15:cachedUniqueName index="91" name="[TimeSeries].[week_after_dose].&amp;[91]"/>
            <x15:cachedUniqueName index="92" name="[TimeSeries].[week_after_dose].&amp;[92]"/>
            <x15:cachedUniqueName index="93" name="[TimeSeries].[week_after_dose].&amp;[93]"/>
            <x15:cachedUniqueName index="94" name="[TimeSeries].[week_after_dose].&amp;[94]"/>
            <x15:cachedUniqueName index="95" name="[TimeSeries].[week_after_dose].&amp;[95]"/>
            <x15:cachedUniqueName index="96" name="[TimeSeries].[week_after_dose].&amp;[96]"/>
            <x15:cachedUniqueName index="97" name="[TimeSeries].[week_after_dose].&amp;[97]"/>
            <x15:cachedUniqueName index="98" name="[TimeSeries].[week_after_dose].&amp;[98]"/>
            <x15:cachedUniqueName index="99" name="[TimeSeries].[week_after_dose].&amp;[99]"/>
            <x15:cachedUniqueName index="100" name="[TimeSeries].[week_after_dose].&amp;[100]"/>
            <x15:cachedUniqueName index="101" name="[TimeSeries].[week_after_dose].&amp;[101]"/>
            <x15:cachedUniqueName index="102" name="[TimeSeries].[week_after_dose].&amp;[102]"/>
            <x15:cachedUniqueName index="103" name="[TimeSeries].[week_after_dose].&amp;[103]"/>
            <x15:cachedUniqueName index="104" name="[TimeSeries].[week_after_dose].&amp;[104]"/>
            <x15:cachedUniqueName index="105" name="[TimeSeries].[week_after_dose].&amp;[105]"/>
            <x15:cachedUniqueName index="106" name="[TimeSeries].[week_after_dose].&amp;[106]"/>
            <x15:cachedUniqueName index="107" name="[TimeSeries].[week_after_dose].&amp;[107]"/>
            <x15:cachedUniqueName index="108" name="[TimeSeries].[week_after_dose].&amp;[108]"/>
            <x15:cachedUniqueName index="109" name="[TimeSeries].[week_after_dose].&amp;[109]"/>
            <x15:cachedUniqueName index="110" name="[TimeSeries].[week_after_dose].&amp;[110]"/>
            <x15:cachedUniqueName index="111" name="[TimeSeries].[week_after_dose].&amp;[111]"/>
            <x15:cachedUniqueName index="112" name="[TimeSeries].[week_after_dose].&amp;[112]"/>
            <x15:cachedUniqueName index="113" name="[TimeSeries].[week_after_dose].&amp;[113]"/>
            <x15:cachedUniqueName index="114" name="[TimeSeries].[week_after_dose].&amp;[114]"/>
            <x15:cachedUniqueName index="115" name="[TimeSeries].[week_after_dose].&amp;[115]"/>
            <x15:cachedUniqueName index="116" name="[TimeSeries].[week_after_dose].&amp;[116]"/>
            <x15:cachedUniqueName index="117" name="[TimeSeries].[week_after_dose].&amp;[117]"/>
            <x15:cachedUniqueName index="118" name="[TimeSeries].[week_after_dose].&amp;[118]"/>
            <x15:cachedUniqueName index="119" name="[TimeSeries].[week_after_dose].&amp;[119]"/>
            <x15:cachedUniqueName index="120" name="[TimeSeries].[week_after_dose].&amp;[120]"/>
            <x15:cachedUniqueName index="121" name="[TimeSeries].[week_after_dose].&amp;[121]"/>
            <x15:cachedUniqueName index="122" name="[TimeSeries].[week_after_dose].&amp;[122]"/>
            <x15:cachedUniqueName index="123" name="[TimeSeries].[week_after_dose].&amp;[123]"/>
            <x15:cachedUniqueName index="124" name="[TimeSeries].[week_after_dose].&amp;[124]"/>
            <x15:cachedUniqueName index="125" name="[TimeSeries].[week_after_dose].&amp;[125]"/>
            <x15:cachedUniqueName index="126" name="[TimeSeries].[week_after_dose].&amp;[126]"/>
            <x15:cachedUniqueName index="127" name="[TimeSeries].[week_after_dose].&amp;[127]"/>
            <x15:cachedUniqueName index="128" name="[TimeSeries].[week_after_dose].&amp;[128]"/>
            <x15:cachedUniqueName index="129" name="[TimeSeries].[week_after_dose].&amp;[129]"/>
            <x15:cachedUniqueName index="130" name="[TimeSeries].[week_after_dose].&amp;[130]"/>
            <x15:cachedUniqueName index="131" name="[TimeSeries].[week_after_dose].&amp;[131]"/>
            <x15:cachedUniqueName index="132" name="[TimeSeries].[week_after_dose].&amp;[132]"/>
            <x15:cachedUniqueName index="133" name="[TimeSeries].[week_after_dose].&amp;[133]"/>
            <x15:cachedUniqueName index="134" name="[TimeSeries].[week_after_dose].&amp;[134]"/>
            <x15:cachedUniqueName index="135" name="[TimeSeries].[week_after_dose].&amp;[135]"/>
            <x15:cachedUniqueName index="136" name="[TimeSeries].[week_after_dose].&amp;[136]"/>
            <x15:cachedUniqueName index="137" name="[TimeSeries].[week_after_dose].&amp;[137]"/>
            <x15:cachedUniqueName index="138" name="[TimeSeries].[week_after_dose].&amp;[138]"/>
            <x15:cachedUniqueName index="139" name="[TimeSeries].[week_after_dose].&amp;[139]"/>
            <x15:cachedUniqueName index="140" name="[TimeSeries].[week_after_dose].&amp;[140]"/>
            <x15:cachedUniqueName index="141" name="[TimeSeries].[week_after_dose].&amp;[141]"/>
            <x15:cachedUniqueName index="142" name="[TimeSeries].[week_after_dose].&amp;[142]"/>
            <x15:cachedUniqueName index="143" name="[TimeSeries].[week_after_dose].&amp;[143]"/>
            <x15:cachedUniqueName index="144" name="[TimeSeries].[week_after_dose].&amp;[144]"/>
            <x15:cachedUniqueName index="145" name="[TimeSeries].[week_after_dose].&amp;[145]"/>
            <x15:cachedUniqueName index="146" name="[TimeSeries].[week_after_dose].&amp;[146]"/>
            <x15:cachedUniqueName index="147" name="[TimeSeries].[week_after_dose].&amp;[147]"/>
            <x15:cachedUniqueName index="148" name="[TimeSeries].[week_after_dose].&amp;[148]"/>
            <x15:cachedUniqueName index="149" name="[TimeSeries].[week_after_dose].&amp;[149]"/>
            <x15:cachedUniqueName index="150" name="[TimeSeries].[week_after_dose].&amp;[150]"/>
            <x15:cachedUniqueName index="151" name="[TimeSeries].[week_after_dose].&amp;[151]"/>
            <x15:cachedUniqueName index="152" name="[TimeSeries].[week_after_dose].&amp;[152]"/>
            <x15:cachedUniqueName index="153" name="[TimeSeries].[week_after_dose].&amp;[153]"/>
            <x15:cachedUniqueName index="154" name="[TimeSeries].[week_after_dose].&amp;[154]"/>
            <x15:cachedUniqueName index="155" name="[TimeSeries].[week_after_dose].&amp;[155]"/>
            <x15:cachedUniqueName index="156" name="[TimeSeries].[week_after_dose].&amp;[156]"/>
            <x15:cachedUniqueName index="157" name="[TimeSeries].[week_after_dose].&amp;[157]"/>
            <x15:cachedUniqueName index="158" name="[TimeSeries].[week_after_dose].&amp;[158]"/>
            <x15:cachedUniqueName index="159" name="[TimeSeries].[week_after_dose].&amp;[159]"/>
            <x15:cachedUniqueName index="160" name="[TimeSeries].[week_after_dose].&amp;[160]"/>
            <x15:cachedUniqueName index="161" name="[TimeSeries].[week_after_dose].&amp;[161]"/>
            <x15:cachedUniqueName index="162" name="[TimeSeries].[week_after_dose].&amp;[162]"/>
            <x15:cachedUniqueName index="163" name="[TimeSeries].[week_after_dose].&amp;[163]"/>
            <x15:cachedUniqueName index="164" name="[TimeSeries].[week_after_dose].&amp;[164]"/>
            <x15:cachedUniqueName index="165" name="[TimeSeries].[week_after_dose].&amp;[165]"/>
            <x15:cachedUniqueName index="166" name="[TimeSeries].[week_after_dose].&amp;[166]"/>
            <x15:cachedUniqueName index="167" name="[TimeSeries].[week_after_dose].&amp;[167]"/>
            <x15:cachedUniqueName index="168" name="[TimeSeries].[week_after_dose].&amp;[168]"/>
            <x15:cachedUniqueName index="169" name="[TimeSeries].[week_after_dose].&amp;[169]"/>
            <x15:cachedUniqueName index="170" name="[TimeSeries].[week_after_dose].&amp;[170]"/>
            <x15:cachedUniqueName index="171" name="[TimeSeries].[week_after_dose].&amp;[171]"/>
            <x15:cachedUniqueName index="172" name="[TimeSeries].[week_after_dose].&amp;[172]"/>
            <x15:cachedUniqueName index="173" name="[TimeSeries].[week_after_dose].&amp;[173]"/>
            <x15:cachedUniqueName index="174" name="[TimeSeries].[week_after_dose].&amp;[174]"/>
            <x15:cachedUniqueName index="175" name="[TimeSeries].[week_after_dose].&amp;[175]"/>
            <x15:cachedUniqueName index="176" name="[TimeSeries].[week_after_dose].&amp;[176]"/>
            <x15:cachedUniqueName index="177" name="[TimeSeries].[week_after_dose].&amp;[177]"/>
            <x15:cachedUniqueName index="178" name="[TimeSeries].[week_after_dose].&amp;[178]"/>
            <x15:cachedUniqueName index="179" name="[TimeSeries].[week_after_dose].&amp;[179]"/>
            <x15:cachedUniqueName index="180" name="[TimeSeries].[week_after_dose].&amp;[180]"/>
            <x15:cachedUniqueName index="181" name="[TimeSeries].[week_after_dose].&amp;[181]"/>
            <x15:cachedUniqueName index="182" name="[TimeSeries].[week_after_dose].&amp;[182]"/>
            <x15:cachedUniqueName index="183" name="[TimeSeries].[week_after_dose].&amp;[183]"/>
            <x15:cachedUniqueName index="184" name="[TimeSeries].[week_after_dose].&amp;[184]"/>
            <x15:cachedUniqueName index="185" name="[TimeSeries].[week_after_dose].&amp;[185]"/>
            <x15:cachedUniqueName index="186" name="[TimeSeries].[week_after_dose].&amp;[186]"/>
            <x15:cachedUniqueName index="187" name="[TimeSeries].[week_after_dose].&amp;[187]"/>
            <x15:cachedUniqueName index="188" name="[TimeSeries].[week_after_dose].&amp;[188]"/>
            <x15:cachedUniqueName index="189" name="[TimeSeries].[week_after_dose].&amp;[189]"/>
            <x15:cachedUniqueName index="190" name="[TimeSeries].[week_after_dose].&amp;[190]"/>
            <x15:cachedUniqueName index="191" name="[TimeSeries].[week_after_dose].&amp;[191]"/>
            <x15:cachedUniqueName index="192" name="[TimeSeries].[week_after_dose].&amp;[192]"/>
            <x15:cachedUniqueName index="193" name="[TimeSeries].[week_after_dose].&amp;[193]"/>
            <x15:cachedUniqueName index="194" name="[TimeSeries].[week_after_dose].&amp;[194]"/>
            <x15:cachedUniqueName index="195" name="[TimeSeries].[week_after_dose].&amp;[195]"/>
            <x15:cachedUniqueName index="196" name="[TimeSeries].[week_after_dose].&amp;[196]"/>
            <x15:cachedUniqueName index="197" name="[TimeSeries].[week_after_dose].&amp;[197]"/>
            <x15:cachedUniqueName index="198" name="[TimeSeries].[week_after_dose].&amp;[198]"/>
            <x15:cachedUniqueName index="199" name="[TimeSeries].[week_after_dose].&amp;[199]"/>
            <x15:cachedUniqueName index="200" name="[TimeSeries].[week_after_dose].&amp;[200]"/>
          </x15:cachedUniqueNames>
        </ext>
      </extLst>
    </cacheField>
  </cacheFields>
  <cacheHierarchies count="11">
    <cacheHierarchy uniqueName="[TimeSeries].[dose]" caption="dose" attribute="1" defaultMemberUniqueName="[TimeSeries].[dose].[All]" allUniqueName="[TimeSeries].[dose].[All]" dimensionUniqueName="[TimeSeries]" displayFolder="" count="2" memberValueDatatype="20" unbalanced="0">
      <fieldsUsage count="2">
        <fieldUsage x="-1"/>
        <fieldUsage x="0"/>
      </fieldsUsage>
    </cacheHierarchy>
    <cacheHierarchy uniqueName="[TimeSeries].[Decade_of_Birth]" caption="Decade_of_Birth" attribute="1" defaultMemberUniqueName="[TimeSeries].[Decade_of_Birth].[All]" allUniqueName="[TimeSeries].[Decade_of_Birth].[All]" dimensionUniqueName="[TimeSeries]" displayFolder="" count="2" memberValueDatatype="20" unbalanced="0">
      <fieldsUsage count="2">
        <fieldUsage x="-1"/>
        <fieldUsage x="1"/>
      </fieldsUsage>
    </cacheHierarchy>
    <cacheHierarchy uniqueName="[TimeSeries].[week_after_dose]" caption="week_after_dose" attribute="1" defaultMemberUniqueName="[TimeSeries].[week_after_dose].[All]" allUniqueName="[TimeSeries].[week_after_dose].[All]" dimensionUniqueName="[TimeSeries]" displayFolder="" count="2" memberValueDatatype="20" unbalanced="0">
      <fieldsUsage count="2">
        <fieldUsage x="-1"/>
        <fieldUsage x="3"/>
      </fieldsUsage>
    </cacheHierarchy>
    <cacheHierarchy uniqueName="[TimeSeries].[alive]" caption="alive" attribute="1" defaultMemberUniqueName="[TimeSeries].[alive].[All]" allUniqueName="[TimeSeries].[alive].[All]" dimensionUniqueName="[TimeSeries]" displayFolder="" count="0" memberValueDatatype="20" unbalanced="0"/>
    <cacheHierarchy uniqueName="[TimeSeries].[dead]" caption="dead" attribute="1" defaultMemberUniqueName="[TimeSeries].[dead].[All]" allUniqueName="[TimeSeries].[dead].[All]" dimensionUniqueName="[TimeSeries]" displayFolder="" count="0" memberValueDatatype="20" unbalanced="0"/>
    <cacheHierarchy uniqueName="[TimeSeries].[h(t)]" caption="h(t)" attribute="1" defaultMemberUniqueName="[TimeSeries].[h(t)].[All]" allUniqueName="[TimeSeries].[h(t)].[All]" dimensionUniqueName="[TimeSeries]" displayFolder="" count="0" memberValueDatatype="5" unbalanced="0"/>
    <cacheHierarchy uniqueName="[TimeSeries].[cum h(t)]" caption="cum h(t)" attribute="1" defaultMemberUniqueName="[TimeSeries].[cum h(t)].[All]" allUniqueName="[TimeSeries].[cum h(t)].[All]" dimensionUniqueName="[TimeSeries]" displayFolder="" count="0" memberValueDatatype="5" unbalanced="0"/>
    <cacheHierarchy uniqueName="[Measures].[__XL_Count TimeSeries]" caption="__XL_Count TimeSeries" measure="1" displayFolder="" measureGroup="TimeSeries" count="0" hidden="1"/>
    <cacheHierarchy uniqueName="[Measures].[__No measures defined]" caption="__No measures defined" measure="1" displayFolder="" count="0" hidden="1"/>
    <cacheHierarchy uniqueName="[Measures].[Sum of h(t)]" caption="Sum of h(t)" measure="1" displayFolder="" measureGroup="TimeSeries"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cum h(t)]" caption="Sum of cum h(t)" measure="1" displayFolder="" measureGroup="TimeSeries"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imeSeries" uniqueName="[TimeSeries]" caption="TimeSeries"/>
  </dimensions>
  <measureGroups count="1">
    <measureGroup name="TimeSeries" caption="TimeSeri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teve Kirsch" refreshedDate="45963.611011689813" backgroundQuery="1" createdVersion="8" refreshedVersion="8" minRefreshableVersion="3" recordCount="0" supportSubquery="1" supportAdvancedDrill="1" xr:uid="{B4644A80-CBAB-42C3-8421-8F2ECA0B8389}">
  <cacheSource type="external" connectionId="2"/>
  <cacheFields count="4">
    <cacheField name="[TimeSeries].[dose].[dose]" caption="dose" numFmtId="0" level="1">
      <sharedItems containsSemiMixedTypes="0" containsString="0" containsNumber="1" containsInteger="1" minValue="1" maxValue="5" count="5">
        <n v="1"/>
        <n v="2"/>
        <n v="3" u="1"/>
        <n v="4" u="1"/>
        <n v="5" u="1"/>
      </sharedItems>
      <extLst>
        <ext xmlns:x15="http://schemas.microsoft.com/office/spreadsheetml/2010/11/main" uri="{4F2E5C28-24EA-4eb8-9CBF-B6C8F9C3D259}">
          <x15:cachedUniqueNames>
            <x15:cachedUniqueName index="0" name="[TimeSeries].[dose].&amp;[1]"/>
            <x15:cachedUniqueName index="1" name="[TimeSeries].[dose].&amp;[2]"/>
            <x15:cachedUniqueName index="2" name="[TimeSeries].[dose].&amp;[3]"/>
            <x15:cachedUniqueName index="3" name="[TimeSeries].[dose].&amp;[4]"/>
            <x15:cachedUniqueName index="4" name="[TimeSeries].[dose].&amp;[5]"/>
          </x15:cachedUniqueNames>
        </ext>
      </extLst>
    </cacheField>
    <cacheField name="[TimeSeries].[Decade_of_Birth].[Decade_of_Birth]" caption="Decade_of_Birth" numFmtId="0" hierarchy="1" level="1">
      <sharedItems containsSemiMixedTypes="0" containsNonDate="0" containsString="0"/>
    </cacheField>
    <cacheField name="[Measures].[Sum of h(t)]" caption="Sum of h(t)" numFmtId="0" hierarchy="9" level="32767"/>
    <cacheField name="[TimeSeries].[week_after_dose].[week_after_dose]" caption="week_after_dose" numFmtId="0" hierarchy="2" level="1">
      <sharedItems containsSemiMixedTypes="0" containsString="0" containsNumber="1" containsInteger="1" minValue="0" maxValue="200" count="201">
        <n v="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sharedItems>
      <extLst>
        <ext xmlns:x15="http://schemas.microsoft.com/office/spreadsheetml/2010/11/main" uri="{4F2E5C28-24EA-4eb8-9CBF-B6C8F9C3D259}">
          <x15:cachedUniqueNames>
            <x15:cachedUniqueName index="0" name="[TimeSeries].[week_after_dose].&amp;[0]"/>
            <x15:cachedUniqueName index="1" name="[TimeSeries].[week_after_dose].&amp;[1]"/>
            <x15:cachedUniqueName index="2" name="[TimeSeries].[week_after_dose].&amp;[2]"/>
            <x15:cachedUniqueName index="3" name="[TimeSeries].[week_after_dose].&amp;[3]"/>
            <x15:cachedUniqueName index="4" name="[TimeSeries].[week_after_dose].&amp;[4]"/>
            <x15:cachedUniqueName index="5" name="[TimeSeries].[week_after_dose].&amp;[5]"/>
            <x15:cachedUniqueName index="6" name="[TimeSeries].[week_after_dose].&amp;[6]"/>
            <x15:cachedUniqueName index="7" name="[TimeSeries].[week_after_dose].&amp;[7]"/>
            <x15:cachedUniqueName index="8" name="[TimeSeries].[week_after_dose].&amp;[8]"/>
            <x15:cachedUniqueName index="9" name="[TimeSeries].[week_after_dose].&amp;[9]"/>
            <x15:cachedUniqueName index="10" name="[TimeSeries].[week_after_dose].&amp;[10]"/>
            <x15:cachedUniqueName index="11" name="[TimeSeries].[week_after_dose].&amp;[11]"/>
            <x15:cachedUniqueName index="12" name="[TimeSeries].[week_after_dose].&amp;[12]"/>
            <x15:cachedUniqueName index="13" name="[TimeSeries].[week_after_dose].&amp;[13]"/>
            <x15:cachedUniqueName index="14" name="[TimeSeries].[week_after_dose].&amp;[14]"/>
            <x15:cachedUniqueName index="15" name="[TimeSeries].[week_after_dose].&amp;[15]"/>
            <x15:cachedUniqueName index="16" name="[TimeSeries].[week_after_dose].&amp;[16]"/>
            <x15:cachedUniqueName index="17" name="[TimeSeries].[week_after_dose].&amp;[17]"/>
            <x15:cachedUniqueName index="18" name="[TimeSeries].[week_after_dose].&amp;[18]"/>
            <x15:cachedUniqueName index="19" name="[TimeSeries].[week_after_dose].&amp;[19]"/>
            <x15:cachedUniqueName index="20" name="[TimeSeries].[week_after_dose].&amp;[20]"/>
            <x15:cachedUniqueName index="21" name="[TimeSeries].[week_after_dose].&amp;[21]"/>
            <x15:cachedUniqueName index="22" name="[TimeSeries].[week_after_dose].&amp;[22]"/>
            <x15:cachedUniqueName index="23" name="[TimeSeries].[week_after_dose].&amp;[23]"/>
            <x15:cachedUniqueName index="24" name="[TimeSeries].[week_after_dose].&amp;[24]"/>
            <x15:cachedUniqueName index="25" name="[TimeSeries].[week_after_dose].&amp;[25]"/>
            <x15:cachedUniqueName index="26" name="[TimeSeries].[week_after_dose].&amp;[26]"/>
            <x15:cachedUniqueName index="27" name="[TimeSeries].[week_after_dose].&amp;[27]"/>
            <x15:cachedUniqueName index="28" name="[TimeSeries].[week_after_dose].&amp;[28]"/>
            <x15:cachedUniqueName index="29" name="[TimeSeries].[week_after_dose].&amp;[29]"/>
            <x15:cachedUniqueName index="30" name="[TimeSeries].[week_after_dose].&amp;[30]"/>
            <x15:cachedUniqueName index="31" name="[TimeSeries].[week_after_dose].&amp;[31]"/>
            <x15:cachedUniqueName index="32" name="[TimeSeries].[week_after_dose].&amp;[32]"/>
            <x15:cachedUniqueName index="33" name="[TimeSeries].[week_after_dose].&amp;[33]"/>
            <x15:cachedUniqueName index="34" name="[TimeSeries].[week_after_dose].&amp;[34]"/>
            <x15:cachedUniqueName index="35" name="[TimeSeries].[week_after_dose].&amp;[35]"/>
            <x15:cachedUniqueName index="36" name="[TimeSeries].[week_after_dose].&amp;[36]"/>
            <x15:cachedUniqueName index="37" name="[TimeSeries].[week_after_dose].&amp;[37]"/>
            <x15:cachedUniqueName index="38" name="[TimeSeries].[week_after_dose].&amp;[38]"/>
            <x15:cachedUniqueName index="39" name="[TimeSeries].[week_after_dose].&amp;[39]"/>
            <x15:cachedUniqueName index="40" name="[TimeSeries].[week_after_dose].&amp;[40]"/>
            <x15:cachedUniqueName index="41" name="[TimeSeries].[week_after_dose].&amp;[41]"/>
            <x15:cachedUniqueName index="42" name="[TimeSeries].[week_after_dose].&amp;[42]"/>
            <x15:cachedUniqueName index="43" name="[TimeSeries].[week_after_dose].&amp;[43]"/>
            <x15:cachedUniqueName index="44" name="[TimeSeries].[week_after_dose].&amp;[44]"/>
            <x15:cachedUniqueName index="45" name="[TimeSeries].[week_after_dose].&amp;[45]"/>
            <x15:cachedUniqueName index="46" name="[TimeSeries].[week_after_dose].&amp;[46]"/>
            <x15:cachedUniqueName index="47" name="[TimeSeries].[week_after_dose].&amp;[47]"/>
            <x15:cachedUniqueName index="48" name="[TimeSeries].[week_after_dose].&amp;[48]"/>
            <x15:cachedUniqueName index="49" name="[TimeSeries].[week_after_dose].&amp;[49]"/>
            <x15:cachedUniqueName index="50" name="[TimeSeries].[week_after_dose].&amp;[50]"/>
            <x15:cachedUniqueName index="51" name="[TimeSeries].[week_after_dose].&amp;[51]"/>
            <x15:cachedUniqueName index="52" name="[TimeSeries].[week_after_dose].&amp;[52]"/>
            <x15:cachedUniqueName index="53" name="[TimeSeries].[week_after_dose].&amp;[53]"/>
            <x15:cachedUniqueName index="54" name="[TimeSeries].[week_after_dose].&amp;[54]"/>
            <x15:cachedUniqueName index="55" name="[TimeSeries].[week_after_dose].&amp;[55]"/>
            <x15:cachedUniqueName index="56" name="[TimeSeries].[week_after_dose].&amp;[56]"/>
            <x15:cachedUniqueName index="57" name="[TimeSeries].[week_after_dose].&amp;[57]"/>
            <x15:cachedUniqueName index="58" name="[TimeSeries].[week_after_dose].&amp;[58]"/>
            <x15:cachedUniqueName index="59" name="[TimeSeries].[week_after_dose].&amp;[59]"/>
            <x15:cachedUniqueName index="60" name="[TimeSeries].[week_after_dose].&amp;[60]"/>
            <x15:cachedUniqueName index="61" name="[TimeSeries].[week_after_dose].&amp;[61]"/>
            <x15:cachedUniqueName index="62" name="[TimeSeries].[week_after_dose].&amp;[62]"/>
            <x15:cachedUniqueName index="63" name="[TimeSeries].[week_after_dose].&amp;[63]"/>
            <x15:cachedUniqueName index="64" name="[TimeSeries].[week_after_dose].&amp;[64]"/>
            <x15:cachedUniqueName index="65" name="[TimeSeries].[week_after_dose].&amp;[65]"/>
            <x15:cachedUniqueName index="66" name="[TimeSeries].[week_after_dose].&amp;[66]"/>
            <x15:cachedUniqueName index="67" name="[TimeSeries].[week_after_dose].&amp;[67]"/>
            <x15:cachedUniqueName index="68" name="[TimeSeries].[week_after_dose].&amp;[68]"/>
            <x15:cachedUniqueName index="69" name="[TimeSeries].[week_after_dose].&amp;[69]"/>
            <x15:cachedUniqueName index="70" name="[TimeSeries].[week_after_dose].&amp;[70]"/>
            <x15:cachedUniqueName index="71" name="[TimeSeries].[week_after_dose].&amp;[71]"/>
            <x15:cachedUniqueName index="72" name="[TimeSeries].[week_after_dose].&amp;[72]"/>
            <x15:cachedUniqueName index="73" name="[TimeSeries].[week_after_dose].&amp;[73]"/>
            <x15:cachedUniqueName index="74" name="[TimeSeries].[week_after_dose].&amp;[74]"/>
            <x15:cachedUniqueName index="75" name="[TimeSeries].[week_after_dose].&amp;[75]"/>
            <x15:cachedUniqueName index="76" name="[TimeSeries].[week_after_dose].&amp;[76]"/>
            <x15:cachedUniqueName index="77" name="[TimeSeries].[week_after_dose].&amp;[77]"/>
            <x15:cachedUniqueName index="78" name="[TimeSeries].[week_after_dose].&amp;[78]"/>
            <x15:cachedUniqueName index="79" name="[TimeSeries].[week_after_dose].&amp;[79]"/>
            <x15:cachedUniqueName index="80" name="[TimeSeries].[week_after_dose].&amp;[80]"/>
            <x15:cachedUniqueName index="81" name="[TimeSeries].[week_after_dose].&amp;[81]"/>
            <x15:cachedUniqueName index="82" name="[TimeSeries].[week_after_dose].&amp;[82]"/>
            <x15:cachedUniqueName index="83" name="[TimeSeries].[week_after_dose].&amp;[83]"/>
            <x15:cachedUniqueName index="84" name="[TimeSeries].[week_after_dose].&amp;[84]"/>
            <x15:cachedUniqueName index="85" name="[TimeSeries].[week_after_dose].&amp;[85]"/>
            <x15:cachedUniqueName index="86" name="[TimeSeries].[week_after_dose].&amp;[86]"/>
            <x15:cachedUniqueName index="87" name="[TimeSeries].[week_after_dose].&amp;[87]"/>
            <x15:cachedUniqueName index="88" name="[TimeSeries].[week_after_dose].&amp;[88]"/>
            <x15:cachedUniqueName index="89" name="[TimeSeries].[week_after_dose].&amp;[89]"/>
            <x15:cachedUniqueName index="90" name="[TimeSeries].[week_after_dose].&amp;[90]"/>
            <x15:cachedUniqueName index="91" name="[TimeSeries].[week_after_dose].&amp;[91]"/>
            <x15:cachedUniqueName index="92" name="[TimeSeries].[week_after_dose].&amp;[92]"/>
            <x15:cachedUniqueName index="93" name="[TimeSeries].[week_after_dose].&amp;[93]"/>
            <x15:cachedUniqueName index="94" name="[TimeSeries].[week_after_dose].&amp;[94]"/>
            <x15:cachedUniqueName index="95" name="[TimeSeries].[week_after_dose].&amp;[95]"/>
            <x15:cachedUniqueName index="96" name="[TimeSeries].[week_after_dose].&amp;[96]"/>
            <x15:cachedUniqueName index="97" name="[TimeSeries].[week_after_dose].&amp;[97]"/>
            <x15:cachedUniqueName index="98" name="[TimeSeries].[week_after_dose].&amp;[98]"/>
            <x15:cachedUniqueName index="99" name="[TimeSeries].[week_after_dose].&amp;[99]"/>
            <x15:cachedUniqueName index="100" name="[TimeSeries].[week_after_dose].&amp;[100]"/>
            <x15:cachedUniqueName index="101" name="[TimeSeries].[week_after_dose].&amp;[101]"/>
            <x15:cachedUniqueName index="102" name="[TimeSeries].[week_after_dose].&amp;[102]"/>
            <x15:cachedUniqueName index="103" name="[TimeSeries].[week_after_dose].&amp;[103]"/>
            <x15:cachedUniqueName index="104" name="[TimeSeries].[week_after_dose].&amp;[104]"/>
            <x15:cachedUniqueName index="105" name="[TimeSeries].[week_after_dose].&amp;[105]"/>
            <x15:cachedUniqueName index="106" name="[TimeSeries].[week_after_dose].&amp;[106]"/>
            <x15:cachedUniqueName index="107" name="[TimeSeries].[week_after_dose].&amp;[107]"/>
            <x15:cachedUniqueName index="108" name="[TimeSeries].[week_after_dose].&amp;[108]"/>
            <x15:cachedUniqueName index="109" name="[TimeSeries].[week_after_dose].&amp;[109]"/>
            <x15:cachedUniqueName index="110" name="[TimeSeries].[week_after_dose].&amp;[110]"/>
            <x15:cachedUniqueName index="111" name="[TimeSeries].[week_after_dose].&amp;[111]"/>
            <x15:cachedUniqueName index="112" name="[TimeSeries].[week_after_dose].&amp;[112]"/>
            <x15:cachedUniqueName index="113" name="[TimeSeries].[week_after_dose].&amp;[113]"/>
            <x15:cachedUniqueName index="114" name="[TimeSeries].[week_after_dose].&amp;[114]"/>
            <x15:cachedUniqueName index="115" name="[TimeSeries].[week_after_dose].&amp;[115]"/>
            <x15:cachedUniqueName index="116" name="[TimeSeries].[week_after_dose].&amp;[116]"/>
            <x15:cachedUniqueName index="117" name="[TimeSeries].[week_after_dose].&amp;[117]"/>
            <x15:cachedUniqueName index="118" name="[TimeSeries].[week_after_dose].&amp;[118]"/>
            <x15:cachedUniqueName index="119" name="[TimeSeries].[week_after_dose].&amp;[119]"/>
            <x15:cachedUniqueName index="120" name="[TimeSeries].[week_after_dose].&amp;[120]"/>
            <x15:cachedUniqueName index="121" name="[TimeSeries].[week_after_dose].&amp;[121]"/>
            <x15:cachedUniqueName index="122" name="[TimeSeries].[week_after_dose].&amp;[122]"/>
            <x15:cachedUniqueName index="123" name="[TimeSeries].[week_after_dose].&amp;[123]"/>
            <x15:cachedUniqueName index="124" name="[TimeSeries].[week_after_dose].&amp;[124]"/>
            <x15:cachedUniqueName index="125" name="[TimeSeries].[week_after_dose].&amp;[125]"/>
            <x15:cachedUniqueName index="126" name="[TimeSeries].[week_after_dose].&amp;[126]"/>
            <x15:cachedUniqueName index="127" name="[TimeSeries].[week_after_dose].&amp;[127]"/>
            <x15:cachedUniqueName index="128" name="[TimeSeries].[week_after_dose].&amp;[128]"/>
            <x15:cachedUniqueName index="129" name="[TimeSeries].[week_after_dose].&amp;[129]"/>
            <x15:cachedUniqueName index="130" name="[TimeSeries].[week_after_dose].&amp;[130]"/>
            <x15:cachedUniqueName index="131" name="[TimeSeries].[week_after_dose].&amp;[131]"/>
            <x15:cachedUniqueName index="132" name="[TimeSeries].[week_after_dose].&amp;[132]"/>
            <x15:cachedUniqueName index="133" name="[TimeSeries].[week_after_dose].&amp;[133]"/>
            <x15:cachedUniqueName index="134" name="[TimeSeries].[week_after_dose].&amp;[134]"/>
            <x15:cachedUniqueName index="135" name="[TimeSeries].[week_after_dose].&amp;[135]"/>
            <x15:cachedUniqueName index="136" name="[TimeSeries].[week_after_dose].&amp;[136]"/>
            <x15:cachedUniqueName index="137" name="[TimeSeries].[week_after_dose].&amp;[137]"/>
            <x15:cachedUniqueName index="138" name="[TimeSeries].[week_after_dose].&amp;[138]"/>
            <x15:cachedUniqueName index="139" name="[TimeSeries].[week_after_dose].&amp;[139]"/>
            <x15:cachedUniqueName index="140" name="[TimeSeries].[week_after_dose].&amp;[140]"/>
            <x15:cachedUniqueName index="141" name="[TimeSeries].[week_after_dose].&amp;[141]"/>
            <x15:cachedUniqueName index="142" name="[TimeSeries].[week_after_dose].&amp;[142]"/>
            <x15:cachedUniqueName index="143" name="[TimeSeries].[week_after_dose].&amp;[143]"/>
            <x15:cachedUniqueName index="144" name="[TimeSeries].[week_after_dose].&amp;[144]"/>
            <x15:cachedUniqueName index="145" name="[TimeSeries].[week_after_dose].&amp;[145]"/>
            <x15:cachedUniqueName index="146" name="[TimeSeries].[week_after_dose].&amp;[146]"/>
            <x15:cachedUniqueName index="147" name="[TimeSeries].[week_after_dose].&amp;[147]"/>
            <x15:cachedUniqueName index="148" name="[TimeSeries].[week_after_dose].&amp;[148]"/>
            <x15:cachedUniqueName index="149" name="[TimeSeries].[week_after_dose].&amp;[149]"/>
            <x15:cachedUniqueName index="150" name="[TimeSeries].[week_after_dose].&amp;[150]"/>
            <x15:cachedUniqueName index="151" name="[TimeSeries].[week_after_dose].&amp;[151]"/>
            <x15:cachedUniqueName index="152" name="[TimeSeries].[week_after_dose].&amp;[152]"/>
            <x15:cachedUniqueName index="153" name="[TimeSeries].[week_after_dose].&amp;[153]"/>
            <x15:cachedUniqueName index="154" name="[TimeSeries].[week_after_dose].&amp;[154]"/>
            <x15:cachedUniqueName index="155" name="[TimeSeries].[week_after_dose].&amp;[155]"/>
            <x15:cachedUniqueName index="156" name="[TimeSeries].[week_after_dose].&amp;[156]"/>
            <x15:cachedUniqueName index="157" name="[TimeSeries].[week_after_dose].&amp;[157]"/>
            <x15:cachedUniqueName index="158" name="[TimeSeries].[week_after_dose].&amp;[158]"/>
            <x15:cachedUniqueName index="159" name="[TimeSeries].[week_after_dose].&amp;[159]"/>
            <x15:cachedUniqueName index="160" name="[TimeSeries].[week_after_dose].&amp;[160]"/>
            <x15:cachedUniqueName index="161" name="[TimeSeries].[week_after_dose].&amp;[161]"/>
            <x15:cachedUniqueName index="162" name="[TimeSeries].[week_after_dose].&amp;[162]"/>
            <x15:cachedUniqueName index="163" name="[TimeSeries].[week_after_dose].&amp;[163]"/>
            <x15:cachedUniqueName index="164" name="[TimeSeries].[week_after_dose].&amp;[164]"/>
            <x15:cachedUniqueName index="165" name="[TimeSeries].[week_after_dose].&amp;[165]"/>
            <x15:cachedUniqueName index="166" name="[TimeSeries].[week_after_dose].&amp;[166]"/>
            <x15:cachedUniqueName index="167" name="[TimeSeries].[week_after_dose].&amp;[167]"/>
            <x15:cachedUniqueName index="168" name="[TimeSeries].[week_after_dose].&amp;[168]"/>
            <x15:cachedUniqueName index="169" name="[TimeSeries].[week_after_dose].&amp;[169]"/>
            <x15:cachedUniqueName index="170" name="[TimeSeries].[week_after_dose].&amp;[170]"/>
            <x15:cachedUniqueName index="171" name="[TimeSeries].[week_after_dose].&amp;[171]"/>
            <x15:cachedUniqueName index="172" name="[TimeSeries].[week_after_dose].&amp;[172]"/>
            <x15:cachedUniqueName index="173" name="[TimeSeries].[week_after_dose].&amp;[173]"/>
            <x15:cachedUniqueName index="174" name="[TimeSeries].[week_after_dose].&amp;[174]"/>
            <x15:cachedUniqueName index="175" name="[TimeSeries].[week_after_dose].&amp;[175]"/>
            <x15:cachedUniqueName index="176" name="[TimeSeries].[week_after_dose].&amp;[176]"/>
            <x15:cachedUniqueName index="177" name="[TimeSeries].[week_after_dose].&amp;[177]"/>
            <x15:cachedUniqueName index="178" name="[TimeSeries].[week_after_dose].&amp;[178]"/>
            <x15:cachedUniqueName index="179" name="[TimeSeries].[week_after_dose].&amp;[179]"/>
            <x15:cachedUniqueName index="180" name="[TimeSeries].[week_after_dose].&amp;[180]"/>
            <x15:cachedUniqueName index="181" name="[TimeSeries].[week_after_dose].&amp;[181]"/>
            <x15:cachedUniqueName index="182" name="[TimeSeries].[week_after_dose].&amp;[182]"/>
            <x15:cachedUniqueName index="183" name="[TimeSeries].[week_after_dose].&amp;[183]"/>
            <x15:cachedUniqueName index="184" name="[TimeSeries].[week_after_dose].&amp;[184]"/>
            <x15:cachedUniqueName index="185" name="[TimeSeries].[week_after_dose].&amp;[185]"/>
            <x15:cachedUniqueName index="186" name="[TimeSeries].[week_after_dose].&amp;[186]"/>
            <x15:cachedUniqueName index="187" name="[TimeSeries].[week_after_dose].&amp;[187]"/>
            <x15:cachedUniqueName index="188" name="[TimeSeries].[week_after_dose].&amp;[188]"/>
            <x15:cachedUniqueName index="189" name="[TimeSeries].[week_after_dose].&amp;[189]"/>
            <x15:cachedUniqueName index="190" name="[TimeSeries].[week_after_dose].&amp;[190]"/>
            <x15:cachedUniqueName index="191" name="[TimeSeries].[week_after_dose].&amp;[191]"/>
            <x15:cachedUniqueName index="192" name="[TimeSeries].[week_after_dose].&amp;[192]"/>
            <x15:cachedUniqueName index="193" name="[TimeSeries].[week_after_dose].&amp;[193]"/>
            <x15:cachedUniqueName index="194" name="[TimeSeries].[week_after_dose].&amp;[194]"/>
            <x15:cachedUniqueName index="195" name="[TimeSeries].[week_after_dose].&amp;[195]"/>
            <x15:cachedUniqueName index="196" name="[TimeSeries].[week_after_dose].&amp;[196]"/>
            <x15:cachedUniqueName index="197" name="[TimeSeries].[week_after_dose].&amp;[197]"/>
            <x15:cachedUniqueName index="198" name="[TimeSeries].[week_after_dose].&amp;[198]"/>
            <x15:cachedUniqueName index="199" name="[TimeSeries].[week_after_dose].&amp;[199]"/>
            <x15:cachedUniqueName index="200" name="[TimeSeries].[week_after_dose].&amp;[200]"/>
          </x15:cachedUniqueNames>
        </ext>
      </extLst>
    </cacheField>
  </cacheFields>
  <cacheHierarchies count="11">
    <cacheHierarchy uniqueName="[TimeSeries].[dose]" caption="dose" attribute="1" defaultMemberUniqueName="[TimeSeries].[dose].[All]" allUniqueName="[TimeSeries].[dose].[All]" dimensionUniqueName="[TimeSeries]" displayFolder="" count="2" memberValueDatatype="20" unbalanced="0">
      <fieldsUsage count="2">
        <fieldUsage x="-1"/>
        <fieldUsage x="0"/>
      </fieldsUsage>
    </cacheHierarchy>
    <cacheHierarchy uniqueName="[TimeSeries].[Decade_of_Birth]" caption="Decade_of_Birth" attribute="1" defaultMemberUniqueName="[TimeSeries].[Decade_of_Birth].[All]" allUniqueName="[TimeSeries].[Decade_of_Birth].[All]" dimensionUniqueName="[TimeSeries]" displayFolder="" count="2" memberValueDatatype="20" unbalanced="0">
      <fieldsUsage count="2">
        <fieldUsage x="-1"/>
        <fieldUsage x="1"/>
      </fieldsUsage>
    </cacheHierarchy>
    <cacheHierarchy uniqueName="[TimeSeries].[week_after_dose]" caption="week_after_dose" attribute="1" defaultMemberUniqueName="[TimeSeries].[week_after_dose].[All]" allUniqueName="[TimeSeries].[week_after_dose].[All]" dimensionUniqueName="[TimeSeries]" displayFolder="" count="2" memberValueDatatype="20" unbalanced="0">
      <fieldsUsage count="2">
        <fieldUsage x="-1"/>
        <fieldUsage x="3"/>
      </fieldsUsage>
    </cacheHierarchy>
    <cacheHierarchy uniqueName="[TimeSeries].[alive]" caption="alive" attribute="1" defaultMemberUniqueName="[TimeSeries].[alive].[All]" allUniqueName="[TimeSeries].[alive].[All]" dimensionUniqueName="[TimeSeries]" displayFolder="" count="0" memberValueDatatype="20" unbalanced="0"/>
    <cacheHierarchy uniqueName="[TimeSeries].[dead]" caption="dead" attribute="1" defaultMemberUniqueName="[TimeSeries].[dead].[All]" allUniqueName="[TimeSeries].[dead].[All]" dimensionUniqueName="[TimeSeries]" displayFolder="" count="0" memberValueDatatype="20" unbalanced="0"/>
    <cacheHierarchy uniqueName="[TimeSeries].[h(t)]" caption="h(t)" attribute="1" defaultMemberUniqueName="[TimeSeries].[h(t)].[All]" allUniqueName="[TimeSeries].[h(t)].[All]" dimensionUniqueName="[TimeSeries]" displayFolder="" count="0" memberValueDatatype="5" unbalanced="0"/>
    <cacheHierarchy uniqueName="[TimeSeries].[cum h(t)]" caption="cum h(t)" attribute="1" defaultMemberUniqueName="[TimeSeries].[cum h(t)].[All]" allUniqueName="[TimeSeries].[cum h(t)].[All]" dimensionUniqueName="[TimeSeries]" displayFolder="" count="0" memberValueDatatype="5" unbalanced="0"/>
    <cacheHierarchy uniqueName="[Measures].[__XL_Count TimeSeries]" caption="__XL_Count TimeSeries" measure="1" displayFolder="" measureGroup="TimeSeries" count="0" hidden="1"/>
    <cacheHierarchy uniqueName="[Measures].[__No measures defined]" caption="__No measures defined" measure="1" displayFolder="" count="0" hidden="1"/>
    <cacheHierarchy uniqueName="[Measures].[Sum of h(t)]" caption="Sum of h(t)" measure="1" displayFolder="" measureGroup="TimeSeries"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cum h(t)]" caption="Sum of cum h(t)" measure="1" displayFolder="" measureGroup="TimeSeries"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imeSeries" uniqueName="[TimeSeries]" caption="TimeSeries"/>
  </dimensions>
  <measureGroups count="1">
    <measureGroup name="TimeSeries" caption="TimeSeri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teve Kirsch" refreshedDate="45963.687441550923" backgroundQuery="1" createdVersion="8" refreshedVersion="8" minRefreshableVersion="3" recordCount="0" supportSubquery="1" supportAdvancedDrill="1" xr:uid="{DF693424-C23B-4917-8542-A2FA5BEA88D9}">
  <cacheSource type="external" connectionId="2"/>
  <cacheFields count="4">
    <cacheField name="[TimeSeries].[dose].[dose]" caption="dose" numFmtId="0" level="1">
      <sharedItems containsSemiMixedTypes="0" containsNonDate="0" containsString="0"/>
    </cacheField>
    <cacheField name="[TimeSeries].[Decade_of_Birth].[Decade_of_Birth]" caption="Decade_of_Birth" numFmtId="0" hierarchy="1" level="1">
      <sharedItems containsSemiMixedTypes="0" containsNonDate="0" containsString="0"/>
    </cacheField>
    <cacheField name="[Measures].[Sum of h(t)]" caption="Sum of h(t)" numFmtId="0" hierarchy="9" level="32767"/>
    <cacheField name="[TimeSeries].[week_after_dose].[week_after_dose]" caption="week_after_dose" numFmtId="0" hierarchy="2" level="1">
      <sharedItems containsSemiMixedTypes="0" containsString="0" containsNumber="1" containsInteger="1" minValue="0" maxValue="200" count="201">
        <n v="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sharedItems>
      <extLst>
        <ext xmlns:x15="http://schemas.microsoft.com/office/spreadsheetml/2010/11/main" uri="{4F2E5C28-24EA-4eb8-9CBF-B6C8F9C3D259}">
          <x15:cachedUniqueNames>
            <x15:cachedUniqueName index="0" name="[TimeSeries].[week_after_dose].&amp;[0]"/>
            <x15:cachedUniqueName index="1" name="[TimeSeries].[week_after_dose].&amp;[1]"/>
            <x15:cachedUniqueName index="2" name="[TimeSeries].[week_after_dose].&amp;[2]"/>
            <x15:cachedUniqueName index="3" name="[TimeSeries].[week_after_dose].&amp;[3]"/>
            <x15:cachedUniqueName index="4" name="[TimeSeries].[week_after_dose].&amp;[4]"/>
            <x15:cachedUniqueName index="5" name="[TimeSeries].[week_after_dose].&amp;[5]"/>
            <x15:cachedUniqueName index="6" name="[TimeSeries].[week_after_dose].&amp;[6]"/>
            <x15:cachedUniqueName index="7" name="[TimeSeries].[week_after_dose].&amp;[7]"/>
            <x15:cachedUniqueName index="8" name="[TimeSeries].[week_after_dose].&amp;[8]"/>
            <x15:cachedUniqueName index="9" name="[TimeSeries].[week_after_dose].&amp;[9]"/>
            <x15:cachedUniqueName index="10" name="[TimeSeries].[week_after_dose].&amp;[10]"/>
            <x15:cachedUniqueName index="11" name="[TimeSeries].[week_after_dose].&amp;[11]"/>
            <x15:cachedUniqueName index="12" name="[TimeSeries].[week_after_dose].&amp;[12]"/>
            <x15:cachedUniqueName index="13" name="[TimeSeries].[week_after_dose].&amp;[13]"/>
            <x15:cachedUniqueName index="14" name="[TimeSeries].[week_after_dose].&amp;[14]"/>
            <x15:cachedUniqueName index="15" name="[TimeSeries].[week_after_dose].&amp;[15]"/>
            <x15:cachedUniqueName index="16" name="[TimeSeries].[week_after_dose].&amp;[16]"/>
            <x15:cachedUniqueName index="17" name="[TimeSeries].[week_after_dose].&amp;[17]"/>
            <x15:cachedUniqueName index="18" name="[TimeSeries].[week_after_dose].&amp;[18]"/>
            <x15:cachedUniqueName index="19" name="[TimeSeries].[week_after_dose].&amp;[19]"/>
            <x15:cachedUniqueName index="20" name="[TimeSeries].[week_after_dose].&amp;[20]"/>
            <x15:cachedUniqueName index="21" name="[TimeSeries].[week_after_dose].&amp;[21]"/>
            <x15:cachedUniqueName index="22" name="[TimeSeries].[week_after_dose].&amp;[22]"/>
            <x15:cachedUniqueName index="23" name="[TimeSeries].[week_after_dose].&amp;[23]"/>
            <x15:cachedUniqueName index="24" name="[TimeSeries].[week_after_dose].&amp;[24]"/>
            <x15:cachedUniqueName index="25" name="[TimeSeries].[week_after_dose].&amp;[25]"/>
            <x15:cachedUniqueName index="26" name="[TimeSeries].[week_after_dose].&amp;[26]"/>
            <x15:cachedUniqueName index="27" name="[TimeSeries].[week_after_dose].&amp;[27]"/>
            <x15:cachedUniqueName index="28" name="[TimeSeries].[week_after_dose].&amp;[28]"/>
            <x15:cachedUniqueName index="29" name="[TimeSeries].[week_after_dose].&amp;[29]"/>
            <x15:cachedUniqueName index="30" name="[TimeSeries].[week_after_dose].&amp;[30]"/>
            <x15:cachedUniqueName index="31" name="[TimeSeries].[week_after_dose].&amp;[31]"/>
            <x15:cachedUniqueName index="32" name="[TimeSeries].[week_after_dose].&amp;[32]"/>
            <x15:cachedUniqueName index="33" name="[TimeSeries].[week_after_dose].&amp;[33]"/>
            <x15:cachedUniqueName index="34" name="[TimeSeries].[week_after_dose].&amp;[34]"/>
            <x15:cachedUniqueName index="35" name="[TimeSeries].[week_after_dose].&amp;[35]"/>
            <x15:cachedUniqueName index="36" name="[TimeSeries].[week_after_dose].&amp;[36]"/>
            <x15:cachedUniqueName index="37" name="[TimeSeries].[week_after_dose].&amp;[37]"/>
            <x15:cachedUniqueName index="38" name="[TimeSeries].[week_after_dose].&amp;[38]"/>
            <x15:cachedUniqueName index="39" name="[TimeSeries].[week_after_dose].&amp;[39]"/>
            <x15:cachedUniqueName index="40" name="[TimeSeries].[week_after_dose].&amp;[40]"/>
            <x15:cachedUniqueName index="41" name="[TimeSeries].[week_after_dose].&amp;[41]"/>
            <x15:cachedUniqueName index="42" name="[TimeSeries].[week_after_dose].&amp;[42]"/>
            <x15:cachedUniqueName index="43" name="[TimeSeries].[week_after_dose].&amp;[43]"/>
            <x15:cachedUniqueName index="44" name="[TimeSeries].[week_after_dose].&amp;[44]"/>
            <x15:cachedUniqueName index="45" name="[TimeSeries].[week_after_dose].&amp;[45]"/>
            <x15:cachedUniqueName index="46" name="[TimeSeries].[week_after_dose].&amp;[46]"/>
            <x15:cachedUniqueName index="47" name="[TimeSeries].[week_after_dose].&amp;[47]"/>
            <x15:cachedUniqueName index="48" name="[TimeSeries].[week_after_dose].&amp;[48]"/>
            <x15:cachedUniqueName index="49" name="[TimeSeries].[week_after_dose].&amp;[49]"/>
            <x15:cachedUniqueName index="50" name="[TimeSeries].[week_after_dose].&amp;[50]"/>
            <x15:cachedUniqueName index="51" name="[TimeSeries].[week_after_dose].&amp;[51]"/>
            <x15:cachedUniqueName index="52" name="[TimeSeries].[week_after_dose].&amp;[52]"/>
            <x15:cachedUniqueName index="53" name="[TimeSeries].[week_after_dose].&amp;[53]"/>
            <x15:cachedUniqueName index="54" name="[TimeSeries].[week_after_dose].&amp;[54]"/>
            <x15:cachedUniqueName index="55" name="[TimeSeries].[week_after_dose].&amp;[55]"/>
            <x15:cachedUniqueName index="56" name="[TimeSeries].[week_after_dose].&amp;[56]"/>
            <x15:cachedUniqueName index="57" name="[TimeSeries].[week_after_dose].&amp;[57]"/>
            <x15:cachedUniqueName index="58" name="[TimeSeries].[week_after_dose].&amp;[58]"/>
            <x15:cachedUniqueName index="59" name="[TimeSeries].[week_after_dose].&amp;[59]"/>
            <x15:cachedUniqueName index="60" name="[TimeSeries].[week_after_dose].&amp;[60]"/>
            <x15:cachedUniqueName index="61" name="[TimeSeries].[week_after_dose].&amp;[61]"/>
            <x15:cachedUniqueName index="62" name="[TimeSeries].[week_after_dose].&amp;[62]"/>
            <x15:cachedUniqueName index="63" name="[TimeSeries].[week_after_dose].&amp;[63]"/>
            <x15:cachedUniqueName index="64" name="[TimeSeries].[week_after_dose].&amp;[64]"/>
            <x15:cachedUniqueName index="65" name="[TimeSeries].[week_after_dose].&amp;[65]"/>
            <x15:cachedUniqueName index="66" name="[TimeSeries].[week_after_dose].&amp;[66]"/>
            <x15:cachedUniqueName index="67" name="[TimeSeries].[week_after_dose].&amp;[67]"/>
            <x15:cachedUniqueName index="68" name="[TimeSeries].[week_after_dose].&amp;[68]"/>
            <x15:cachedUniqueName index="69" name="[TimeSeries].[week_after_dose].&amp;[69]"/>
            <x15:cachedUniqueName index="70" name="[TimeSeries].[week_after_dose].&amp;[70]"/>
            <x15:cachedUniqueName index="71" name="[TimeSeries].[week_after_dose].&amp;[71]"/>
            <x15:cachedUniqueName index="72" name="[TimeSeries].[week_after_dose].&amp;[72]"/>
            <x15:cachedUniqueName index="73" name="[TimeSeries].[week_after_dose].&amp;[73]"/>
            <x15:cachedUniqueName index="74" name="[TimeSeries].[week_after_dose].&amp;[74]"/>
            <x15:cachedUniqueName index="75" name="[TimeSeries].[week_after_dose].&amp;[75]"/>
            <x15:cachedUniqueName index="76" name="[TimeSeries].[week_after_dose].&amp;[76]"/>
            <x15:cachedUniqueName index="77" name="[TimeSeries].[week_after_dose].&amp;[77]"/>
            <x15:cachedUniqueName index="78" name="[TimeSeries].[week_after_dose].&amp;[78]"/>
            <x15:cachedUniqueName index="79" name="[TimeSeries].[week_after_dose].&amp;[79]"/>
            <x15:cachedUniqueName index="80" name="[TimeSeries].[week_after_dose].&amp;[80]"/>
            <x15:cachedUniqueName index="81" name="[TimeSeries].[week_after_dose].&amp;[81]"/>
            <x15:cachedUniqueName index="82" name="[TimeSeries].[week_after_dose].&amp;[82]"/>
            <x15:cachedUniqueName index="83" name="[TimeSeries].[week_after_dose].&amp;[83]"/>
            <x15:cachedUniqueName index="84" name="[TimeSeries].[week_after_dose].&amp;[84]"/>
            <x15:cachedUniqueName index="85" name="[TimeSeries].[week_after_dose].&amp;[85]"/>
            <x15:cachedUniqueName index="86" name="[TimeSeries].[week_after_dose].&amp;[86]"/>
            <x15:cachedUniqueName index="87" name="[TimeSeries].[week_after_dose].&amp;[87]"/>
            <x15:cachedUniqueName index="88" name="[TimeSeries].[week_after_dose].&amp;[88]"/>
            <x15:cachedUniqueName index="89" name="[TimeSeries].[week_after_dose].&amp;[89]"/>
            <x15:cachedUniqueName index="90" name="[TimeSeries].[week_after_dose].&amp;[90]"/>
            <x15:cachedUniqueName index="91" name="[TimeSeries].[week_after_dose].&amp;[91]"/>
            <x15:cachedUniqueName index="92" name="[TimeSeries].[week_after_dose].&amp;[92]"/>
            <x15:cachedUniqueName index="93" name="[TimeSeries].[week_after_dose].&amp;[93]"/>
            <x15:cachedUniqueName index="94" name="[TimeSeries].[week_after_dose].&amp;[94]"/>
            <x15:cachedUniqueName index="95" name="[TimeSeries].[week_after_dose].&amp;[95]"/>
            <x15:cachedUniqueName index="96" name="[TimeSeries].[week_after_dose].&amp;[96]"/>
            <x15:cachedUniqueName index="97" name="[TimeSeries].[week_after_dose].&amp;[97]"/>
            <x15:cachedUniqueName index="98" name="[TimeSeries].[week_after_dose].&amp;[98]"/>
            <x15:cachedUniqueName index="99" name="[TimeSeries].[week_after_dose].&amp;[99]"/>
            <x15:cachedUniqueName index="100" name="[TimeSeries].[week_after_dose].&amp;[100]"/>
            <x15:cachedUniqueName index="101" name="[TimeSeries].[week_after_dose].&amp;[101]"/>
            <x15:cachedUniqueName index="102" name="[TimeSeries].[week_after_dose].&amp;[102]"/>
            <x15:cachedUniqueName index="103" name="[TimeSeries].[week_after_dose].&amp;[103]"/>
            <x15:cachedUniqueName index="104" name="[TimeSeries].[week_after_dose].&amp;[104]"/>
            <x15:cachedUniqueName index="105" name="[TimeSeries].[week_after_dose].&amp;[105]"/>
            <x15:cachedUniqueName index="106" name="[TimeSeries].[week_after_dose].&amp;[106]"/>
            <x15:cachedUniqueName index="107" name="[TimeSeries].[week_after_dose].&amp;[107]"/>
            <x15:cachedUniqueName index="108" name="[TimeSeries].[week_after_dose].&amp;[108]"/>
            <x15:cachedUniqueName index="109" name="[TimeSeries].[week_after_dose].&amp;[109]"/>
            <x15:cachedUniqueName index="110" name="[TimeSeries].[week_after_dose].&amp;[110]"/>
            <x15:cachedUniqueName index="111" name="[TimeSeries].[week_after_dose].&amp;[111]"/>
            <x15:cachedUniqueName index="112" name="[TimeSeries].[week_after_dose].&amp;[112]"/>
            <x15:cachedUniqueName index="113" name="[TimeSeries].[week_after_dose].&amp;[113]"/>
            <x15:cachedUniqueName index="114" name="[TimeSeries].[week_after_dose].&amp;[114]"/>
            <x15:cachedUniqueName index="115" name="[TimeSeries].[week_after_dose].&amp;[115]"/>
            <x15:cachedUniqueName index="116" name="[TimeSeries].[week_after_dose].&amp;[116]"/>
            <x15:cachedUniqueName index="117" name="[TimeSeries].[week_after_dose].&amp;[117]"/>
            <x15:cachedUniqueName index="118" name="[TimeSeries].[week_after_dose].&amp;[118]"/>
            <x15:cachedUniqueName index="119" name="[TimeSeries].[week_after_dose].&amp;[119]"/>
            <x15:cachedUniqueName index="120" name="[TimeSeries].[week_after_dose].&amp;[120]"/>
            <x15:cachedUniqueName index="121" name="[TimeSeries].[week_after_dose].&amp;[121]"/>
            <x15:cachedUniqueName index="122" name="[TimeSeries].[week_after_dose].&amp;[122]"/>
            <x15:cachedUniqueName index="123" name="[TimeSeries].[week_after_dose].&amp;[123]"/>
            <x15:cachedUniqueName index="124" name="[TimeSeries].[week_after_dose].&amp;[124]"/>
            <x15:cachedUniqueName index="125" name="[TimeSeries].[week_after_dose].&amp;[125]"/>
            <x15:cachedUniqueName index="126" name="[TimeSeries].[week_after_dose].&amp;[126]"/>
            <x15:cachedUniqueName index="127" name="[TimeSeries].[week_after_dose].&amp;[127]"/>
            <x15:cachedUniqueName index="128" name="[TimeSeries].[week_after_dose].&amp;[128]"/>
            <x15:cachedUniqueName index="129" name="[TimeSeries].[week_after_dose].&amp;[129]"/>
            <x15:cachedUniqueName index="130" name="[TimeSeries].[week_after_dose].&amp;[130]"/>
            <x15:cachedUniqueName index="131" name="[TimeSeries].[week_after_dose].&amp;[131]"/>
            <x15:cachedUniqueName index="132" name="[TimeSeries].[week_after_dose].&amp;[132]"/>
            <x15:cachedUniqueName index="133" name="[TimeSeries].[week_after_dose].&amp;[133]"/>
            <x15:cachedUniqueName index="134" name="[TimeSeries].[week_after_dose].&amp;[134]"/>
            <x15:cachedUniqueName index="135" name="[TimeSeries].[week_after_dose].&amp;[135]"/>
            <x15:cachedUniqueName index="136" name="[TimeSeries].[week_after_dose].&amp;[136]"/>
            <x15:cachedUniqueName index="137" name="[TimeSeries].[week_after_dose].&amp;[137]"/>
            <x15:cachedUniqueName index="138" name="[TimeSeries].[week_after_dose].&amp;[138]"/>
            <x15:cachedUniqueName index="139" name="[TimeSeries].[week_after_dose].&amp;[139]"/>
            <x15:cachedUniqueName index="140" name="[TimeSeries].[week_after_dose].&amp;[140]"/>
            <x15:cachedUniqueName index="141" name="[TimeSeries].[week_after_dose].&amp;[141]"/>
            <x15:cachedUniqueName index="142" name="[TimeSeries].[week_after_dose].&amp;[142]"/>
            <x15:cachedUniqueName index="143" name="[TimeSeries].[week_after_dose].&amp;[143]"/>
            <x15:cachedUniqueName index="144" name="[TimeSeries].[week_after_dose].&amp;[144]"/>
            <x15:cachedUniqueName index="145" name="[TimeSeries].[week_after_dose].&amp;[145]"/>
            <x15:cachedUniqueName index="146" name="[TimeSeries].[week_after_dose].&amp;[146]"/>
            <x15:cachedUniqueName index="147" name="[TimeSeries].[week_after_dose].&amp;[147]"/>
            <x15:cachedUniqueName index="148" name="[TimeSeries].[week_after_dose].&amp;[148]"/>
            <x15:cachedUniqueName index="149" name="[TimeSeries].[week_after_dose].&amp;[149]"/>
            <x15:cachedUniqueName index="150" name="[TimeSeries].[week_after_dose].&amp;[150]"/>
            <x15:cachedUniqueName index="151" name="[TimeSeries].[week_after_dose].&amp;[151]"/>
            <x15:cachedUniqueName index="152" name="[TimeSeries].[week_after_dose].&amp;[152]"/>
            <x15:cachedUniqueName index="153" name="[TimeSeries].[week_after_dose].&amp;[153]"/>
            <x15:cachedUniqueName index="154" name="[TimeSeries].[week_after_dose].&amp;[154]"/>
            <x15:cachedUniqueName index="155" name="[TimeSeries].[week_after_dose].&amp;[155]"/>
            <x15:cachedUniqueName index="156" name="[TimeSeries].[week_after_dose].&amp;[156]"/>
            <x15:cachedUniqueName index="157" name="[TimeSeries].[week_after_dose].&amp;[157]"/>
            <x15:cachedUniqueName index="158" name="[TimeSeries].[week_after_dose].&amp;[158]"/>
            <x15:cachedUniqueName index="159" name="[TimeSeries].[week_after_dose].&amp;[159]"/>
            <x15:cachedUniqueName index="160" name="[TimeSeries].[week_after_dose].&amp;[160]"/>
            <x15:cachedUniqueName index="161" name="[TimeSeries].[week_after_dose].&amp;[161]"/>
            <x15:cachedUniqueName index="162" name="[TimeSeries].[week_after_dose].&amp;[162]"/>
            <x15:cachedUniqueName index="163" name="[TimeSeries].[week_after_dose].&amp;[163]"/>
            <x15:cachedUniqueName index="164" name="[TimeSeries].[week_after_dose].&amp;[164]"/>
            <x15:cachedUniqueName index="165" name="[TimeSeries].[week_after_dose].&amp;[165]"/>
            <x15:cachedUniqueName index="166" name="[TimeSeries].[week_after_dose].&amp;[166]"/>
            <x15:cachedUniqueName index="167" name="[TimeSeries].[week_after_dose].&amp;[167]"/>
            <x15:cachedUniqueName index="168" name="[TimeSeries].[week_after_dose].&amp;[168]"/>
            <x15:cachedUniqueName index="169" name="[TimeSeries].[week_after_dose].&amp;[169]"/>
            <x15:cachedUniqueName index="170" name="[TimeSeries].[week_after_dose].&amp;[170]"/>
            <x15:cachedUniqueName index="171" name="[TimeSeries].[week_after_dose].&amp;[171]"/>
            <x15:cachedUniqueName index="172" name="[TimeSeries].[week_after_dose].&amp;[172]"/>
            <x15:cachedUniqueName index="173" name="[TimeSeries].[week_after_dose].&amp;[173]"/>
            <x15:cachedUniqueName index="174" name="[TimeSeries].[week_after_dose].&amp;[174]"/>
            <x15:cachedUniqueName index="175" name="[TimeSeries].[week_after_dose].&amp;[175]"/>
            <x15:cachedUniqueName index="176" name="[TimeSeries].[week_after_dose].&amp;[176]"/>
            <x15:cachedUniqueName index="177" name="[TimeSeries].[week_after_dose].&amp;[177]"/>
            <x15:cachedUniqueName index="178" name="[TimeSeries].[week_after_dose].&amp;[178]"/>
            <x15:cachedUniqueName index="179" name="[TimeSeries].[week_after_dose].&amp;[179]"/>
            <x15:cachedUniqueName index="180" name="[TimeSeries].[week_after_dose].&amp;[180]"/>
            <x15:cachedUniqueName index="181" name="[TimeSeries].[week_after_dose].&amp;[181]"/>
            <x15:cachedUniqueName index="182" name="[TimeSeries].[week_after_dose].&amp;[182]"/>
            <x15:cachedUniqueName index="183" name="[TimeSeries].[week_after_dose].&amp;[183]"/>
            <x15:cachedUniqueName index="184" name="[TimeSeries].[week_after_dose].&amp;[184]"/>
            <x15:cachedUniqueName index="185" name="[TimeSeries].[week_after_dose].&amp;[185]"/>
            <x15:cachedUniqueName index="186" name="[TimeSeries].[week_after_dose].&amp;[186]"/>
            <x15:cachedUniqueName index="187" name="[TimeSeries].[week_after_dose].&amp;[187]"/>
            <x15:cachedUniqueName index="188" name="[TimeSeries].[week_after_dose].&amp;[188]"/>
            <x15:cachedUniqueName index="189" name="[TimeSeries].[week_after_dose].&amp;[189]"/>
            <x15:cachedUniqueName index="190" name="[TimeSeries].[week_after_dose].&amp;[190]"/>
            <x15:cachedUniqueName index="191" name="[TimeSeries].[week_after_dose].&amp;[191]"/>
            <x15:cachedUniqueName index="192" name="[TimeSeries].[week_after_dose].&amp;[192]"/>
            <x15:cachedUniqueName index="193" name="[TimeSeries].[week_after_dose].&amp;[193]"/>
            <x15:cachedUniqueName index="194" name="[TimeSeries].[week_after_dose].&amp;[194]"/>
            <x15:cachedUniqueName index="195" name="[TimeSeries].[week_after_dose].&amp;[195]"/>
            <x15:cachedUniqueName index="196" name="[TimeSeries].[week_after_dose].&amp;[196]"/>
            <x15:cachedUniqueName index="197" name="[TimeSeries].[week_after_dose].&amp;[197]"/>
            <x15:cachedUniqueName index="198" name="[TimeSeries].[week_after_dose].&amp;[198]"/>
            <x15:cachedUniqueName index="199" name="[TimeSeries].[week_after_dose].&amp;[199]"/>
            <x15:cachedUniqueName index="200" name="[TimeSeries].[week_after_dose].&amp;[200]"/>
          </x15:cachedUniqueNames>
        </ext>
      </extLst>
    </cacheField>
  </cacheFields>
  <cacheHierarchies count="11">
    <cacheHierarchy uniqueName="[TimeSeries].[dose]" caption="dose" attribute="1" defaultMemberUniqueName="[TimeSeries].[dose].[All]" allUniqueName="[TimeSeries].[dose].[All]" dimensionUniqueName="[TimeSeries]" displayFolder="" count="2" memberValueDatatype="20" unbalanced="0">
      <fieldsUsage count="2">
        <fieldUsage x="-1"/>
        <fieldUsage x="0"/>
      </fieldsUsage>
    </cacheHierarchy>
    <cacheHierarchy uniqueName="[TimeSeries].[Decade_of_Birth]" caption="Decade_of_Birth" attribute="1" defaultMemberUniqueName="[TimeSeries].[Decade_of_Birth].[All]" allUniqueName="[TimeSeries].[Decade_of_Birth].[All]" dimensionUniqueName="[TimeSeries]" displayFolder="" count="2" memberValueDatatype="20" unbalanced="0">
      <fieldsUsage count="2">
        <fieldUsage x="-1"/>
        <fieldUsage x="1"/>
      </fieldsUsage>
    </cacheHierarchy>
    <cacheHierarchy uniqueName="[TimeSeries].[week_after_dose]" caption="week_after_dose" attribute="1" defaultMemberUniqueName="[TimeSeries].[week_after_dose].[All]" allUniqueName="[TimeSeries].[week_after_dose].[All]" dimensionUniqueName="[TimeSeries]" displayFolder="" count="2" memberValueDatatype="20" unbalanced="0">
      <fieldsUsage count="2">
        <fieldUsage x="-1"/>
        <fieldUsage x="3"/>
      </fieldsUsage>
    </cacheHierarchy>
    <cacheHierarchy uniqueName="[TimeSeries].[alive]" caption="alive" attribute="1" defaultMemberUniqueName="[TimeSeries].[alive].[All]" allUniqueName="[TimeSeries].[alive].[All]" dimensionUniqueName="[TimeSeries]" displayFolder="" count="0" memberValueDatatype="20" unbalanced="0"/>
    <cacheHierarchy uniqueName="[TimeSeries].[dead]" caption="dead" attribute="1" defaultMemberUniqueName="[TimeSeries].[dead].[All]" allUniqueName="[TimeSeries].[dead].[All]" dimensionUniqueName="[TimeSeries]" displayFolder="" count="0" memberValueDatatype="20" unbalanced="0"/>
    <cacheHierarchy uniqueName="[TimeSeries].[h(t)]" caption="h(t)" attribute="1" defaultMemberUniqueName="[TimeSeries].[h(t)].[All]" allUniqueName="[TimeSeries].[h(t)].[All]" dimensionUniqueName="[TimeSeries]" displayFolder="" count="0" memberValueDatatype="5" unbalanced="0"/>
    <cacheHierarchy uniqueName="[TimeSeries].[cum h(t)]" caption="cum h(t)" attribute="1" defaultMemberUniqueName="[TimeSeries].[cum h(t)].[All]" allUniqueName="[TimeSeries].[cum h(t)].[All]" dimensionUniqueName="[TimeSeries]" displayFolder="" count="0" memberValueDatatype="5" unbalanced="0"/>
    <cacheHierarchy uniqueName="[Measures].[__XL_Count TimeSeries]" caption="__XL_Count TimeSeries" measure="1" displayFolder="" measureGroup="TimeSeries" count="0" hidden="1"/>
    <cacheHierarchy uniqueName="[Measures].[__No measures defined]" caption="__No measures defined" measure="1" displayFolder="" count="0" hidden="1"/>
    <cacheHierarchy uniqueName="[Measures].[Sum of h(t)]" caption="Sum of h(t)" measure="1" displayFolder="" measureGroup="TimeSeries"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cum h(t)]" caption="Sum of cum h(t)" measure="1" displayFolder="" measureGroup="TimeSeries"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imeSeries" uniqueName="[TimeSeries]" caption="TimeSeries"/>
  </dimensions>
  <measureGroups count="1">
    <measureGroup name="TimeSeries" caption="TimeSeri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7148C3-D2B7-4CCC-8282-03C6B1EECE7D}" name="PivotTable2" cacheId="48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4:B206" firstHeaderRow="1" firstDataRow="1" firstDataCol="1" rowPageCount="2" colPageCount="1"/>
  <pivotFields count="4">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s>
    </pivotField>
  </pivotFields>
  <rowFields count="1">
    <field x="3"/>
  </rowFields>
  <rowItems count="20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t="grand">
      <x/>
    </i>
  </rowItems>
  <colItems count="1">
    <i/>
  </colItems>
  <pageFields count="2">
    <pageField fld="1" hier="1" name="[TimeSeries].[Decade_of_Birth].&amp;[1930]" cap="1930"/>
    <pageField fld="0" hier="0" name="[TimeSeries].[dose].&amp;[2]" cap="2"/>
  </pageFields>
  <dataFields count="1">
    <dataField name="Sum of h(t)" fld="2" baseField="0" baseItem="0"/>
  </dataFields>
  <chartFormats count="1">
    <chartFormat chart="0" format="0" series="1">
      <pivotArea type="data" outline="0" fieldPosition="0">
        <references count="1">
          <reference field="4294967294" count="1" selected="0">
            <x v="0"/>
          </reference>
        </references>
      </pivotArea>
    </chartFormat>
  </chartFormats>
  <pivotHierarchies count="11">
    <pivotHierarchy multipleItemSelectionAllowed="1" dragToData="1">
      <members count="1" level="1">
        <member name="[TimeSeries].[dose].&amp;[2]"/>
      </members>
    </pivotHierarchy>
    <pivotHierarchy multipleItemSelectionAllowed="1" dragToData="1">
      <members count="4" level="1">
        <member name="[TimeSeries].[Decade_of_Birth].&amp;[1930]"/>
        <member name="[TimeSeries].[Decade_of_Birth].&amp;[1940]"/>
        <member name="[TimeSeries].[Decade_of_Birth].&amp;[1950]"/>
        <member name="[TimeSeries].[Decade_of_Birth].&amp;[1960]"/>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imeSeries">
        <x15:activeTabTopLevelEntity name="[TimeSer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D6D9DC5-81B9-48B2-93BA-1274B04B55AE}" name="PivotTable2" cacheId="433" applyNumberFormats="0" applyBorderFormats="0" applyFontFormats="0" applyPatternFormats="0" applyAlignmentFormats="0" applyWidthHeightFormats="1" dataCaption="Values" updatedVersion="8" minRefreshableVersion="3" useAutoFormatting="1" subtotalHiddenItems="1" colGrandTotals="0" itemPrintTitles="1" createdVersion="8" indent="0" outline="1" outlineData="1" multipleFieldFilters="0" chartFormat="6">
  <location ref="A4:C207" firstHeaderRow="1" firstDataRow="2" firstDataCol="1" rowPageCount="1" colPageCount="1"/>
  <pivotFields count="4">
    <pivotField axis="axisCol" allDrilled="1" subtotalTop="0" showAll="0" dataSourceSort="1" defaultSubtotal="0" defaultAttributeDrillState="1">
      <items count="5">
        <item s="1" x="0"/>
        <item s="1" x="1"/>
        <item x="2"/>
        <item x="3"/>
        <item x="4"/>
      </items>
    </pivotField>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s>
    </pivotField>
  </pivotFields>
  <rowFields count="1">
    <field x="3"/>
  </rowFields>
  <rowItems count="20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t="grand">
      <x/>
    </i>
  </rowItems>
  <colFields count="1">
    <field x="0"/>
  </colFields>
  <colItems count="2">
    <i>
      <x/>
    </i>
    <i>
      <x v="1"/>
    </i>
  </colItems>
  <pageFields count="1">
    <pageField fld="1" hier="1" name="[TimeSeries].[Decade_of_Birth].&amp;[1930]" cap="1930"/>
  </pageFields>
  <dataFields count="1">
    <dataField name="Sum of h(t)" fld="2" baseField="0" baseItem="0"/>
  </dataFields>
  <chartFormats count="6">
    <chartFormat chart="0" format="0" series="1">
      <pivotArea type="data" outline="0" fieldPosition="0">
        <references count="1">
          <reference field="4294967294" count="1" selected="0">
            <x v="0"/>
          </reference>
        </references>
      </pivotArea>
    </chartFormat>
    <chartFormat chart="5" format="0" series="1">
      <pivotArea type="data" outline="0" fieldPosition="0">
        <references count="2">
          <reference field="4294967294" count="1" selected="0">
            <x v="0"/>
          </reference>
          <reference field="0" count="1" selected="0">
            <x v="0"/>
          </reference>
        </references>
      </pivotArea>
    </chartFormat>
    <chartFormat chart="5" format="1" series="1">
      <pivotArea type="data" outline="0" fieldPosition="0">
        <references count="2">
          <reference field="4294967294" count="1" selected="0">
            <x v="0"/>
          </reference>
          <reference field="0" count="1" selected="0">
            <x v="1"/>
          </reference>
        </references>
      </pivotArea>
    </chartFormat>
    <chartFormat chart="5" format="2" series="1">
      <pivotArea type="data" outline="0" fieldPosition="0">
        <references count="2">
          <reference field="4294967294" count="1" selected="0">
            <x v="0"/>
          </reference>
          <reference field="0" count="1" selected="0">
            <x v="2"/>
          </reference>
        </references>
      </pivotArea>
    </chartFormat>
    <chartFormat chart="5" format="3" series="1">
      <pivotArea type="data" outline="0" fieldPosition="0">
        <references count="2">
          <reference field="4294967294" count="1" selected="0">
            <x v="0"/>
          </reference>
          <reference field="0" count="1" selected="0">
            <x v="3"/>
          </reference>
        </references>
      </pivotArea>
    </chartFormat>
    <chartFormat chart="5" format="4" series="1">
      <pivotArea type="data" outline="0" fieldPosition="0">
        <references count="2">
          <reference field="4294967294" count="1" selected="0">
            <x v="0"/>
          </reference>
          <reference field="0" count="1" selected="0">
            <x v="4"/>
          </reference>
        </references>
      </pivotArea>
    </chartFormat>
  </chartFormats>
  <pivotHierarchies count="11">
    <pivotHierarchy multipleItemSelectionAllowed="1" dragToData="1"/>
    <pivotHierarchy multipleItemSelectionAllowed="1" dragToData="1">
      <members count="4" level="1">
        <member name="[TimeSeries].[Decade_of_Birth].&amp;[1930]"/>
        <member name="[TimeSeries].[Decade_of_Birth].&amp;[1940]"/>
        <member name="[TimeSeries].[Decade_of_Birth].&amp;[1950]"/>
        <member name="[TimeSeries].[Decade_of_Birth].&amp;[1960]"/>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imeSeries">
        <x15:activeTabTopLevelEntity name="[TimeSer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0ABAC9E-4D1C-46EE-AA3E-36620C24F9C2}" name="PivotTable2" cacheId="43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A4:B206" firstHeaderRow="1" firstDataRow="1" firstDataCol="1" rowPageCount="2" colPageCount="1"/>
  <pivotFields count="4">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s>
    </pivotField>
  </pivotFields>
  <rowFields count="1">
    <field x="3"/>
  </rowFields>
  <rowItems count="20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t="grand">
      <x/>
    </i>
  </rowItems>
  <colItems count="1">
    <i/>
  </colItems>
  <pageFields count="2">
    <pageField fld="1" hier="1" name="[TimeSeries].[Decade_of_Birth].&amp;[1930]" cap="1930"/>
    <pageField fld="0" hier="0" name="[TimeSeries].[dose].&amp;[2]" cap="2"/>
  </pageFields>
  <dataFields count="1">
    <dataField name="Sum of h(t)" fld="2" baseField="0" baseItem="0"/>
  </dataFields>
  <chartFormats count="1">
    <chartFormat chart="0" format="0" series="1">
      <pivotArea type="data" outline="0" fieldPosition="0">
        <references count="1">
          <reference field="4294967294" count="1" selected="0">
            <x v="0"/>
          </reference>
        </references>
      </pivotArea>
    </chartFormat>
  </chartFormats>
  <pivotHierarchies count="11">
    <pivotHierarchy multipleItemSelectionAllowed="1" dragToData="1">
      <members count="1" level="1">
        <member name="[TimeSeries].[dose].&amp;[2]"/>
      </members>
    </pivotHierarchy>
    <pivotHierarchy multipleItemSelectionAllowed="1" dragToData="1">
      <members count="4" level="1">
        <member name="[TimeSeries].[Decade_of_Birth].&amp;[1930]"/>
        <member name="[TimeSeries].[Decade_of_Birth].&amp;[1940]"/>
        <member name="[TimeSeries].[Decade_of_Birth].&amp;[1950]"/>
        <member name="[TimeSeries].[Decade_of_Birth].&amp;[1960]"/>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imeSeries">
        <x15:activeTabTopLevelEntity name="[TimeSeries]"/>
      </x15:pivotTableUISettings>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82302-8013-432D-877A-AE4AB5F822EF}">
  <dimension ref="A1:F206"/>
  <sheetViews>
    <sheetView tabSelected="1" workbookViewId="0">
      <selection activeCell="Y20" sqref="Y20"/>
    </sheetView>
  </sheetViews>
  <sheetFormatPr defaultRowHeight="15" x14ac:dyDescent="0.25"/>
  <cols>
    <col min="1" max="1" width="15.85546875" bestFit="1" customWidth="1"/>
    <col min="2" max="2" width="17.85546875" bestFit="1" customWidth="1"/>
    <col min="3" max="3" width="15.140625" bestFit="1" customWidth="1"/>
    <col min="4" max="4" width="15.140625" customWidth="1"/>
    <col min="5" max="6" width="16.28515625" bestFit="1" customWidth="1"/>
    <col min="7" max="7" width="11.28515625" bestFit="1" customWidth="1"/>
    <col min="8" max="8" width="12" bestFit="1" customWidth="1"/>
  </cols>
  <sheetData>
    <row r="1" spans="1:6" x14ac:dyDescent="0.25">
      <c r="A1" s="1" t="s">
        <v>1</v>
      </c>
      <c r="B1" t="s" vm="1">
        <v>6</v>
      </c>
    </row>
    <row r="2" spans="1:6" x14ac:dyDescent="0.25">
      <c r="A2" s="1" t="s">
        <v>0</v>
      </c>
      <c r="B2" t="s" vm="2">
        <v>11</v>
      </c>
      <c r="E2" t="s">
        <v>21</v>
      </c>
      <c r="F2">
        <v>1.57E-3</v>
      </c>
    </row>
    <row r="4" spans="1:6" x14ac:dyDescent="0.25">
      <c r="A4" s="1" t="s">
        <v>2</v>
      </c>
      <c r="B4" t="s">
        <v>5</v>
      </c>
      <c r="C4" s="5" t="s">
        <v>22</v>
      </c>
      <c r="D4" s="5" t="s">
        <v>23</v>
      </c>
      <c r="F4" t="s">
        <v>26</v>
      </c>
    </row>
    <row r="5" spans="1:6" x14ac:dyDescent="0.25">
      <c r="A5" s="2">
        <v>0</v>
      </c>
      <c r="B5" s="3">
        <v>6.2378563193740385E-4</v>
      </c>
      <c r="C5">
        <f t="shared" ref="C5:C69" si="0">$A5</f>
        <v>0</v>
      </c>
      <c r="D5">
        <f t="shared" ref="D5:D6" si="1">B5*EXP(-$F$2*C5)</f>
        <v>6.2378563193740385E-4</v>
      </c>
      <c r="F5" t="s">
        <v>19</v>
      </c>
    </row>
    <row r="6" spans="1:6" x14ac:dyDescent="0.25">
      <c r="A6" s="2">
        <v>1</v>
      </c>
      <c r="B6" s="3">
        <v>1.4057813626949945E-3</v>
      </c>
      <c r="C6">
        <f t="shared" si="0"/>
        <v>1</v>
      </c>
      <c r="D6">
        <f t="shared" si="1"/>
        <v>1.4035760176044558E-3</v>
      </c>
      <c r="F6" t="s">
        <v>20</v>
      </c>
    </row>
    <row r="7" spans="1:6" x14ac:dyDescent="0.25">
      <c r="A7" s="2">
        <v>2</v>
      </c>
      <c r="B7" s="3">
        <v>1.7067301935658179E-3</v>
      </c>
      <c r="C7">
        <f t="shared" si="0"/>
        <v>2</v>
      </c>
      <c r="D7">
        <f t="shared" ref="D6:D69" si="2">B7*EXP(-$F$2*C7)</f>
        <v>1.701379465796954E-3</v>
      </c>
      <c r="F7" t="s">
        <v>24</v>
      </c>
    </row>
    <row r="8" spans="1:6" x14ac:dyDescent="0.25">
      <c r="A8" s="2">
        <v>3</v>
      </c>
      <c r="B8" s="3">
        <v>1.9237258435689513E-3</v>
      </c>
      <c r="C8">
        <f t="shared" si="0"/>
        <v>3</v>
      </c>
      <c r="D8">
        <f t="shared" si="2"/>
        <v>1.9146863994476354E-3</v>
      </c>
      <c r="F8" t="s">
        <v>25</v>
      </c>
    </row>
    <row r="9" spans="1:6" x14ac:dyDescent="0.25">
      <c r="A9" s="2">
        <v>4</v>
      </c>
      <c r="B9" s="3">
        <v>2.0157313191564693E-3</v>
      </c>
      <c r="C9">
        <f t="shared" si="0"/>
        <v>4</v>
      </c>
      <c r="D9">
        <f t="shared" si="2"/>
        <v>2.0031121920045785E-3</v>
      </c>
      <c r="F9" s="4" t="s">
        <v>28</v>
      </c>
    </row>
    <row r="10" spans="1:6" x14ac:dyDescent="0.25">
      <c r="A10" s="2">
        <v>5</v>
      </c>
      <c r="B10" s="3">
        <v>1.9743402597262247E-3</v>
      </c>
      <c r="C10">
        <f t="shared" si="0"/>
        <v>5</v>
      </c>
      <c r="D10">
        <f t="shared" si="2"/>
        <v>1.9589023617138136E-3</v>
      </c>
      <c r="F10" t="s">
        <v>29</v>
      </c>
    </row>
    <row r="11" spans="1:6" x14ac:dyDescent="0.25">
      <c r="A11" s="2">
        <v>6</v>
      </c>
      <c r="B11" s="3">
        <v>2.1104433678800637E-3</v>
      </c>
      <c r="C11">
        <f t="shared" si="0"/>
        <v>6</v>
      </c>
      <c r="D11">
        <f t="shared" si="2"/>
        <v>2.0906563346003398E-3</v>
      </c>
    </row>
    <row r="12" spans="1:6" x14ac:dyDescent="0.25">
      <c r="A12" s="2">
        <v>7</v>
      </c>
      <c r="B12" s="3">
        <v>2.0913031442355255E-3</v>
      </c>
      <c r="C12">
        <f t="shared" si="0"/>
        <v>7</v>
      </c>
      <c r="D12">
        <f t="shared" si="2"/>
        <v>2.0684455551935239E-3</v>
      </c>
    </row>
    <row r="13" spans="1:6" x14ac:dyDescent="0.25">
      <c r="A13" s="2">
        <v>8</v>
      </c>
      <c r="B13" s="3">
        <v>2.1938545411325206E-3</v>
      </c>
      <c r="C13">
        <f t="shared" si="0"/>
        <v>8</v>
      </c>
      <c r="D13">
        <f t="shared" si="2"/>
        <v>2.1664720501124337E-3</v>
      </c>
    </row>
    <row r="14" spans="1:6" x14ac:dyDescent="0.25">
      <c r="A14" s="2">
        <v>9</v>
      </c>
      <c r="B14" s="3">
        <v>2.2498278477859849E-3</v>
      </c>
      <c r="C14">
        <f t="shared" si="0"/>
        <v>9</v>
      </c>
      <c r="D14">
        <f t="shared" si="2"/>
        <v>2.2182613229988495E-3</v>
      </c>
    </row>
    <row r="15" spans="1:6" x14ac:dyDescent="0.25">
      <c r="A15" s="2">
        <v>10</v>
      </c>
      <c r="B15" s="3">
        <v>2.2490770046669716E-3</v>
      </c>
      <c r="C15">
        <f t="shared" si="0"/>
        <v>10</v>
      </c>
      <c r="D15">
        <f t="shared" si="2"/>
        <v>2.2140422382504114E-3</v>
      </c>
    </row>
    <row r="16" spans="1:6" x14ac:dyDescent="0.25">
      <c r="A16" s="2">
        <v>11</v>
      </c>
      <c r="B16" s="3">
        <v>2.3730824598479023E-3</v>
      </c>
      <c r="C16">
        <f t="shared" si="0"/>
        <v>11</v>
      </c>
      <c r="D16">
        <f t="shared" si="2"/>
        <v>2.3324511866714423E-3</v>
      </c>
    </row>
    <row r="17" spans="1:4" x14ac:dyDescent="0.25">
      <c r="A17" s="2">
        <v>12</v>
      </c>
      <c r="B17" s="3">
        <v>2.410852925116991E-3</v>
      </c>
      <c r="C17">
        <f t="shared" si="0"/>
        <v>12</v>
      </c>
      <c r="D17">
        <f t="shared" si="2"/>
        <v>2.3658576424689247E-3</v>
      </c>
    </row>
    <row r="18" spans="1:4" x14ac:dyDescent="0.25">
      <c r="A18" s="2">
        <v>13</v>
      </c>
      <c r="B18" s="3">
        <v>2.3305191308278937E-3</v>
      </c>
      <c r="C18">
        <f t="shared" si="0"/>
        <v>13</v>
      </c>
      <c r="D18">
        <f t="shared" si="2"/>
        <v>2.28343535970706E-3</v>
      </c>
    </row>
    <row r="19" spans="1:4" x14ac:dyDescent="0.25">
      <c r="A19" s="2">
        <v>14</v>
      </c>
      <c r="B19" s="3">
        <v>2.4708978835637466E-3</v>
      </c>
      <c r="C19">
        <f t="shared" si="0"/>
        <v>14</v>
      </c>
      <c r="D19">
        <f t="shared" si="2"/>
        <v>2.4171800695228945E-3</v>
      </c>
    </row>
    <row r="20" spans="1:4" x14ac:dyDescent="0.25">
      <c r="A20" s="2">
        <v>15</v>
      </c>
      <c r="B20" s="3">
        <v>2.465843561607237E-3</v>
      </c>
      <c r="C20">
        <f t="shared" si="0"/>
        <v>15</v>
      </c>
      <c r="D20">
        <f t="shared" si="2"/>
        <v>2.4084513910025145E-3</v>
      </c>
    </row>
    <row r="21" spans="1:4" x14ac:dyDescent="0.25">
      <c r="A21" s="2">
        <v>16</v>
      </c>
      <c r="B21" s="3">
        <v>2.3838478638342022E-3</v>
      </c>
      <c r="C21">
        <f t="shared" si="0"/>
        <v>16</v>
      </c>
      <c r="D21">
        <f t="shared" si="2"/>
        <v>2.3247114682502824E-3</v>
      </c>
    </row>
    <row r="22" spans="1:4" x14ac:dyDescent="0.25">
      <c r="A22" s="2">
        <v>17</v>
      </c>
      <c r="B22" s="3">
        <v>2.5357928608831263E-3</v>
      </c>
      <c r="C22">
        <f t="shared" si="0"/>
        <v>17</v>
      </c>
      <c r="D22">
        <f t="shared" si="2"/>
        <v>2.4690077611001257E-3</v>
      </c>
    </row>
    <row r="23" spans="1:4" x14ac:dyDescent="0.25">
      <c r="A23" s="2">
        <v>18</v>
      </c>
      <c r="B23" s="3">
        <v>2.6439194187242864E-3</v>
      </c>
      <c r="C23">
        <f t="shared" si="0"/>
        <v>18</v>
      </c>
      <c r="D23">
        <f t="shared" si="2"/>
        <v>2.5702481341306205E-3</v>
      </c>
    </row>
    <row r="24" spans="1:4" x14ac:dyDescent="0.25">
      <c r="A24" s="2">
        <v>19</v>
      </c>
      <c r="B24" s="3">
        <v>2.5239715321835939E-3</v>
      </c>
      <c r="C24">
        <f t="shared" si="0"/>
        <v>19</v>
      </c>
      <c r="D24">
        <f t="shared" si="2"/>
        <v>2.4497933296796911E-3</v>
      </c>
    </row>
    <row r="25" spans="1:4" x14ac:dyDescent="0.25">
      <c r="A25" s="2">
        <v>20</v>
      </c>
      <c r="B25" s="3">
        <v>2.8503128975325915E-3</v>
      </c>
      <c r="C25">
        <f t="shared" si="0"/>
        <v>20</v>
      </c>
      <c r="D25">
        <f t="shared" si="2"/>
        <v>2.7622036273247108E-3</v>
      </c>
    </row>
    <row r="26" spans="1:4" x14ac:dyDescent="0.25">
      <c r="A26" s="2">
        <v>21</v>
      </c>
      <c r="B26" s="3">
        <v>2.6753027806789994E-3</v>
      </c>
      <c r="C26">
        <f t="shared" si="0"/>
        <v>21</v>
      </c>
      <c r="D26">
        <f t="shared" si="2"/>
        <v>2.5885362538054756E-3</v>
      </c>
    </row>
    <row r="27" spans="1:4" x14ac:dyDescent="0.25">
      <c r="A27" s="2">
        <v>22</v>
      </c>
      <c r="B27" s="3">
        <v>2.6999513974718501E-3</v>
      </c>
      <c r="C27">
        <f t="shared" si="0"/>
        <v>22</v>
      </c>
      <c r="D27">
        <f t="shared" si="2"/>
        <v>2.6082872292419752E-3</v>
      </c>
    </row>
    <row r="28" spans="1:4" x14ac:dyDescent="0.25">
      <c r="A28" s="2">
        <v>23</v>
      </c>
      <c r="B28" s="3">
        <v>2.76551442143923E-3</v>
      </c>
      <c r="C28">
        <f t="shared" si="0"/>
        <v>23</v>
      </c>
      <c r="D28">
        <f t="shared" si="2"/>
        <v>2.6674332093373585E-3</v>
      </c>
    </row>
    <row r="29" spans="1:4" x14ac:dyDescent="0.25">
      <c r="A29" s="2">
        <v>24</v>
      </c>
      <c r="B29" s="3">
        <v>2.8290181876934398E-3</v>
      </c>
      <c r="C29">
        <f t="shared" si="0"/>
        <v>24</v>
      </c>
      <c r="D29">
        <f t="shared" si="2"/>
        <v>2.7244040891429571E-3</v>
      </c>
    </row>
    <row r="30" spans="1:4" x14ac:dyDescent="0.25">
      <c r="A30" s="2">
        <v>25</v>
      </c>
      <c r="B30" s="3">
        <v>2.8766172759905105E-3</v>
      </c>
      <c r="C30">
        <f t="shared" si="0"/>
        <v>25</v>
      </c>
      <c r="D30">
        <f t="shared" si="2"/>
        <v>2.7658971443989743E-3</v>
      </c>
    </row>
    <row r="31" spans="1:4" x14ac:dyDescent="0.25">
      <c r="A31" s="2">
        <v>26</v>
      </c>
      <c r="B31" s="3">
        <v>3.0038887014472598E-3</v>
      </c>
      <c r="C31">
        <f t="shared" si="0"/>
        <v>26</v>
      </c>
      <c r="D31">
        <f t="shared" si="2"/>
        <v>2.8837389050592904E-3</v>
      </c>
    </row>
    <row r="32" spans="1:4" x14ac:dyDescent="0.25">
      <c r="A32" s="2">
        <v>27</v>
      </c>
      <c r="B32" s="3">
        <v>3.1034089898376088E-3</v>
      </c>
      <c r="C32">
        <f t="shared" si="0"/>
        <v>27</v>
      </c>
      <c r="D32">
        <f t="shared" si="2"/>
        <v>2.9746047750019091E-3</v>
      </c>
    </row>
    <row r="33" spans="1:4" x14ac:dyDescent="0.25">
      <c r="A33" s="2">
        <v>28</v>
      </c>
      <c r="B33" s="3">
        <v>3.0187822509172221E-3</v>
      </c>
      <c r="C33">
        <f t="shared" si="0"/>
        <v>28</v>
      </c>
      <c r="D33">
        <f t="shared" si="2"/>
        <v>2.8889511775005974E-3</v>
      </c>
    </row>
    <row r="34" spans="1:4" x14ac:dyDescent="0.25">
      <c r="A34" s="2">
        <v>29</v>
      </c>
      <c r="B34" s="3">
        <v>2.916385883687052E-3</v>
      </c>
      <c r="C34">
        <f t="shared" si="0"/>
        <v>29</v>
      </c>
      <c r="D34">
        <f t="shared" si="2"/>
        <v>2.7865802818646803E-3</v>
      </c>
    </row>
    <row r="35" spans="1:4" x14ac:dyDescent="0.25">
      <c r="A35" s="2">
        <v>30</v>
      </c>
      <c r="B35" s="3">
        <v>3.1748740007263906E-3</v>
      </c>
      <c r="C35">
        <f t="shared" si="0"/>
        <v>30</v>
      </c>
      <c r="D35">
        <f t="shared" si="2"/>
        <v>3.0288043774481005E-3</v>
      </c>
    </row>
    <row r="36" spans="1:4" x14ac:dyDescent="0.25">
      <c r="A36" s="2">
        <v>31</v>
      </c>
      <c r="B36" s="3">
        <v>2.9158798576789011E-3</v>
      </c>
      <c r="C36">
        <f t="shared" si="0"/>
        <v>31</v>
      </c>
      <c r="D36">
        <f t="shared" si="2"/>
        <v>2.7773621552503085E-3</v>
      </c>
    </row>
    <row r="37" spans="1:4" x14ac:dyDescent="0.25">
      <c r="A37" s="2">
        <v>32</v>
      </c>
      <c r="B37" s="3">
        <v>3.2133242644024756E-3</v>
      </c>
      <c r="C37">
        <f t="shared" si="0"/>
        <v>32</v>
      </c>
      <c r="D37">
        <f t="shared" si="2"/>
        <v>3.0558750927232496E-3</v>
      </c>
    </row>
    <row r="38" spans="1:4" x14ac:dyDescent="0.25">
      <c r="A38" s="2">
        <v>33</v>
      </c>
      <c r="B38" s="3">
        <v>3.2197403997441202E-3</v>
      </c>
      <c r="C38">
        <f t="shared" si="0"/>
        <v>33</v>
      </c>
      <c r="D38">
        <f t="shared" si="2"/>
        <v>3.0571733129683381E-3</v>
      </c>
    </row>
    <row r="39" spans="1:4" x14ac:dyDescent="0.25">
      <c r="A39" s="2">
        <v>34</v>
      </c>
      <c r="B39" s="3">
        <v>3.2826499575686775E-3</v>
      </c>
      <c r="C39">
        <f t="shared" si="0"/>
        <v>34</v>
      </c>
      <c r="D39">
        <f t="shared" si="2"/>
        <v>3.1120168166276023E-3</v>
      </c>
    </row>
    <row r="40" spans="1:4" x14ac:dyDescent="0.25">
      <c r="A40" s="2">
        <v>35</v>
      </c>
      <c r="B40" s="3">
        <v>3.1810341027265487E-3</v>
      </c>
      <c r="C40">
        <f t="shared" si="0"/>
        <v>35</v>
      </c>
      <c r="D40">
        <f t="shared" si="2"/>
        <v>3.010952077204448E-3</v>
      </c>
    </row>
    <row r="41" spans="1:4" x14ac:dyDescent="0.25">
      <c r="A41" s="2">
        <v>36</v>
      </c>
      <c r="B41" s="3">
        <v>3.2502939877018058E-3</v>
      </c>
      <c r="C41">
        <f t="shared" si="0"/>
        <v>36</v>
      </c>
      <c r="D41">
        <f t="shared" si="2"/>
        <v>3.0716824782691513E-3</v>
      </c>
    </row>
    <row r="42" spans="1:4" x14ac:dyDescent="0.25">
      <c r="A42" s="2">
        <v>37</v>
      </c>
      <c r="B42" s="3">
        <v>3.1745584261121014E-3</v>
      </c>
      <c r="C42">
        <f t="shared" si="0"/>
        <v>37</v>
      </c>
      <c r="D42">
        <f t="shared" si="2"/>
        <v>2.9954022935975632E-3</v>
      </c>
    </row>
    <row r="43" spans="1:4" x14ac:dyDescent="0.25">
      <c r="A43" s="2">
        <v>38</v>
      </c>
      <c r="B43" s="3">
        <v>3.3639905878435623E-3</v>
      </c>
      <c r="C43">
        <f t="shared" si="0"/>
        <v>38</v>
      </c>
      <c r="D43">
        <f t="shared" si="2"/>
        <v>3.1691643596676402E-3</v>
      </c>
    </row>
    <row r="44" spans="1:4" x14ac:dyDescent="0.25">
      <c r="A44" s="2">
        <v>39</v>
      </c>
      <c r="B44" s="3">
        <v>3.2033245944173873E-3</v>
      </c>
      <c r="C44">
        <f t="shared" si="0"/>
        <v>39</v>
      </c>
      <c r="D44">
        <f t="shared" si="2"/>
        <v>3.0130691373705543E-3</v>
      </c>
    </row>
    <row r="45" spans="1:4" x14ac:dyDescent="0.25">
      <c r="A45" s="2">
        <v>40</v>
      </c>
      <c r="B45" s="3">
        <v>3.2729057382976925E-3</v>
      </c>
      <c r="C45">
        <f t="shared" si="0"/>
        <v>40</v>
      </c>
      <c r="D45">
        <f t="shared" si="2"/>
        <v>3.073688159136495E-3</v>
      </c>
    </row>
    <row r="46" spans="1:4" x14ac:dyDescent="0.25">
      <c r="A46" s="2">
        <v>41</v>
      </c>
      <c r="B46" s="3">
        <v>3.0949975750723664E-3</v>
      </c>
      <c r="C46">
        <f t="shared" si="0"/>
        <v>41</v>
      </c>
      <c r="D46">
        <f t="shared" si="2"/>
        <v>2.902049242064028E-3</v>
      </c>
    </row>
    <row r="47" spans="1:4" x14ac:dyDescent="0.25">
      <c r="A47" s="2">
        <v>42</v>
      </c>
      <c r="B47" s="3">
        <v>3.1712444029957628E-3</v>
      </c>
      <c r="C47">
        <f t="shared" si="0"/>
        <v>42</v>
      </c>
      <c r="D47">
        <f t="shared" si="2"/>
        <v>2.96887789118598E-3</v>
      </c>
    </row>
    <row r="48" spans="1:4" x14ac:dyDescent="0.25">
      <c r="A48" s="2">
        <v>43</v>
      </c>
      <c r="B48" s="3">
        <v>3.1678971104687247E-3</v>
      </c>
      <c r="C48">
        <f t="shared" si="0"/>
        <v>43</v>
      </c>
      <c r="D48">
        <f t="shared" si="2"/>
        <v>2.9610916341501346E-3</v>
      </c>
    </row>
    <row r="49" spans="1:4" x14ac:dyDescent="0.25">
      <c r="A49" s="2">
        <v>44</v>
      </c>
      <c r="B49" s="3">
        <v>2.8785526918920917E-3</v>
      </c>
      <c r="C49">
        <f t="shared" si="0"/>
        <v>44</v>
      </c>
      <c r="D49">
        <f t="shared" si="2"/>
        <v>2.686415105548616E-3</v>
      </c>
    </row>
    <row r="50" spans="1:4" x14ac:dyDescent="0.25">
      <c r="A50" s="2">
        <v>45</v>
      </c>
      <c r="B50" s="3">
        <v>2.9418079175862703E-3</v>
      </c>
      <c r="C50">
        <f t="shared" si="0"/>
        <v>45</v>
      </c>
      <c r="D50">
        <f t="shared" si="2"/>
        <v>2.7411412007357838E-3</v>
      </c>
    </row>
    <row r="51" spans="1:4" x14ac:dyDescent="0.25">
      <c r="A51" s="2">
        <v>46</v>
      </c>
      <c r="B51" s="3">
        <v>3.1266936846527046E-3</v>
      </c>
      <c r="C51">
        <f t="shared" si="0"/>
        <v>46</v>
      </c>
      <c r="D51">
        <f t="shared" si="2"/>
        <v>2.9088450589949289E-3</v>
      </c>
    </row>
    <row r="52" spans="1:4" x14ac:dyDescent="0.25">
      <c r="A52" s="2">
        <v>47</v>
      </c>
      <c r="B52" s="3">
        <v>2.9579598407058934E-3</v>
      </c>
      <c r="C52">
        <f t="shared" si="0"/>
        <v>47</v>
      </c>
      <c r="D52">
        <f t="shared" si="2"/>
        <v>2.747550500608726E-3</v>
      </c>
    </row>
    <row r="53" spans="1:4" x14ac:dyDescent="0.25">
      <c r="A53" s="2">
        <v>48</v>
      </c>
      <c r="B53" s="3">
        <v>3.1585241761021847E-3</v>
      </c>
      <c r="C53">
        <f t="shared" si="0"/>
        <v>48</v>
      </c>
      <c r="D53">
        <f t="shared" si="2"/>
        <v>2.9292455125676476E-3</v>
      </c>
    </row>
    <row r="54" spans="1:4" x14ac:dyDescent="0.25">
      <c r="A54" s="2">
        <v>49</v>
      </c>
      <c r="B54" s="3">
        <v>2.9878654026142992E-3</v>
      </c>
      <c r="C54">
        <f t="shared" si="0"/>
        <v>49</v>
      </c>
      <c r="D54">
        <f t="shared" si="2"/>
        <v>2.7666279173986035E-3</v>
      </c>
    </row>
    <row r="55" spans="1:4" x14ac:dyDescent="0.25">
      <c r="A55" s="2">
        <v>50</v>
      </c>
      <c r="B55" s="3">
        <v>3.1038872354504873E-3</v>
      </c>
      <c r="C55">
        <f t="shared" si="0"/>
        <v>50</v>
      </c>
      <c r="D55">
        <f t="shared" si="2"/>
        <v>2.8695501429692291E-3</v>
      </c>
    </row>
    <row r="56" spans="1:4" x14ac:dyDescent="0.25">
      <c r="A56" s="2">
        <v>51</v>
      </c>
      <c r="B56" s="3">
        <v>2.9042870455048293E-3</v>
      </c>
      <c r="C56">
        <f t="shared" si="0"/>
        <v>51</v>
      </c>
      <c r="D56">
        <f t="shared" si="2"/>
        <v>2.6808071832334981E-3</v>
      </c>
    </row>
    <row r="57" spans="1:4" x14ac:dyDescent="0.25">
      <c r="A57" s="2">
        <v>52</v>
      </c>
      <c r="B57" s="3">
        <v>2.9673495505308581E-3</v>
      </c>
      <c r="C57">
        <f t="shared" si="0"/>
        <v>52</v>
      </c>
      <c r="D57">
        <f t="shared" si="2"/>
        <v>2.7347202546573611E-3</v>
      </c>
    </row>
    <row r="58" spans="1:4" x14ac:dyDescent="0.25">
      <c r="A58" s="2">
        <v>53</v>
      </c>
      <c r="B58" s="3">
        <v>3.2397300515165355E-3</v>
      </c>
      <c r="C58">
        <f t="shared" si="0"/>
        <v>53</v>
      </c>
      <c r="D58">
        <f t="shared" si="2"/>
        <v>2.9810631805917884E-3</v>
      </c>
    </row>
    <row r="59" spans="1:4" x14ac:dyDescent="0.25">
      <c r="A59" s="2">
        <v>54</v>
      </c>
      <c r="B59" s="3">
        <v>3.0634899285473896E-3</v>
      </c>
      <c r="C59">
        <f t="shared" si="0"/>
        <v>54</v>
      </c>
      <c r="D59">
        <f t="shared" si="2"/>
        <v>2.8144722483003123E-3</v>
      </c>
    </row>
    <row r="60" spans="1:4" x14ac:dyDescent="0.25">
      <c r="A60" s="2">
        <v>55</v>
      </c>
      <c r="B60" s="3">
        <v>3.2657411944279633E-3</v>
      </c>
      <c r="C60">
        <f t="shared" si="0"/>
        <v>55</v>
      </c>
      <c r="D60">
        <f t="shared" si="2"/>
        <v>2.9955766453387584E-3</v>
      </c>
    </row>
    <row r="61" spans="1:4" x14ac:dyDescent="0.25">
      <c r="A61" s="2">
        <v>56</v>
      </c>
      <c r="B61" s="3">
        <v>2.9348393193685696E-3</v>
      </c>
      <c r="C61">
        <f t="shared" si="0"/>
        <v>56</v>
      </c>
      <c r="D61">
        <f t="shared" si="2"/>
        <v>2.6878260456298861E-3</v>
      </c>
    </row>
    <row r="62" spans="1:4" x14ac:dyDescent="0.25">
      <c r="A62" s="2">
        <v>57</v>
      </c>
      <c r="B62" s="3">
        <v>3.0313681068872638E-3</v>
      </c>
      <c r="C62">
        <f t="shared" si="0"/>
        <v>57</v>
      </c>
      <c r="D62">
        <f t="shared" si="2"/>
        <v>2.7718751428226275E-3</v>
      </c>
    </row>
    <row r="63" spans="1:4" x14ac:dyDescent="0.25">
      <c r="A63" s="2">
        <v>58</v>
      </c>
      <c r="B63" s="3">
        <v>3.2610373555725884E-3</v>
      </c>
      <c r="C63">
        <f t="shared" si="0"/>
        <v>58</v>
      </c>
      <c r="D63">
        <f t="shared" si="2"/>
        <v>2.9772062238093725E-3</v>
      </c>
    </row>
    <row r="64" spans="1:4" x14ac:dyDescent="0.25">
      <c r="A64" s="2">
        <v>59</v>
      </c>
      <c r="B64" s="3">
        <v>3.0357675707907237E-3</v>
      </c>
      <c r="C64">
        <f t="shared" si="0"/>
        <v>59</v>
      </c>
      <c r="D64">
        <f t="shared" si="2"/>
        <v>2.7671953518033157E-3</v>
      </c>
    </row>
    <row r="65" spans="1:4" x14ac:dyDescent="0.25">
      <c r="A65" s="2">
        <v>60</v>
      </c>
      <c r="B65" s="3">
        <v>3.1065790874640537E-3</v>
      </c>
      <c r="C65">
        <f t="shared" si="0"/>
        <v>60</v>
      </c>
      <c r="D65">
        <f t="shared" si="2"/>
        <v>2.8272998763311462E-3</v>
      </c>
    </row>
    <row r="66" spans="1:4" x14ac:dyDescent="0.25">
      <c r="A66" s="2">
        <v>61</v>
      </c>
      <c r="B66" s="3">
        <v>3.0490017079403344E-3</v>
      </c>
      <c r="C66">
        <f t="shared" si="0"/>
        <v>61</v>
      </c>
      <c r="D66">
        <f t="shared" si="2"/>
        <v>2.7705454887829301E-3</v>
      </c>
    </row>
    <row r="67" spans="1:4" x14ac:dyDescent="0.25">
      <c r="A67" s="2">
        <v>62</v>
      </c>
      <c r="B67" s="3">
        <v>3.0946318538270729E-3</v>
      </c>
      <c r="C67">
        <f t="shared" si="0"/>
        <v>62</v>
      </c>
      <c r="D67">
        <f t="shared" si="2"/>
        <v>2.807596980441255E-3</v>
      </c>
    </row>
    <row r="68" spans="1:4" x14ac:dyDescent="0.25">
      <c r="A68" s="2">
        <v>63</v>
      </c>
      <c r="B68" s="3">
        <v>3.042316065611454E-3</v>
      </c>
      <c r="C68">
        <f t="shared" si="0"/>
        <v>63</v>
      </c>
      <c r="D68">
        <f t="shared" si="2"/>
        <v>2.7558036030940745E-3</v>
      </c>
    </row>
    <row r="69" spans="1:4" x14ac:dyDescent="0.25">
      <c r="A69" s="2">
        <v>64</v>
      </c>
      <c r="B69" s="3">
        <v>3.033899677608057E-3</v>
      </c>
      <c r="C69">
        <f t="shared" si="0"/>
        <v>64</v>
      </c>
      <c r="D69">
        <f t="shared" si="2"/>
        <v>2.7438685778054168E-3</v>
      </c>
    </row>
    <row r="70" spans="1:4" x14ac:dyDescent="0.25">
      <c r="A70" s="2">
        <v>65</v>
      </c>
      <c r="B70" s="3">
        <v>2.9904190170540268E-3</v>
      </c>
      <c r="C70">
        <f t="shared" ref="C70:C133" si="3">$A70</f>
        <v>65</v>
      </c>
      <c r="D70">
        <f t="shared" ref="D70:D133" si="4">B70*EXP(-$F$2*C70)</f>
        <v>2.7003017258106572E-3</v>
      </c>
    </row>
    <row r="71" spans="1:4" x14ac:dyDescent="0.25">
      <c r="A71" s="2">
        <v>66</v>
      </c>
      <c r="B71" s="3">
        <v>2.9553239488637846E-3</v>
      </c>
      <c r="C71">
        <f t="shared" si="3"/>
        <v>66</v>
      </c>
      <c r="D71">
        <f t="shared" si="4"/>
        <v>2.6644249939413514E-3</v>
      </c>
    </row>
    <row r="72" spans="1:4" x14ac:dyDescent="0.25">
      <c r="A72" s="2">
        <v>67</v>
      </c>
      <c r="B72" s="3">
        <v>3.0368487660681139E-3</v>
      </c>
      <c r="C72">
        <f t="shared" si="3"/>
        <v>67</v>
      </c>
      <c r="D72">
        <f t="shared" si="4"/>
        <v>2.7336299764362955E-3</v>
      </c>
    </row>
    <row r="73" spans="1:4" x14ac:dyDescent="0.25">
      <c r="A73" s="2">
        <v>68</v>
      </c>
      <c r="B73" s="3">
        <v>3.1825657247508809E-3</v>
      </c>
      <c r="C73">
        <f t="shared" si="3"/>
        <v>68</v>
      </c>
      <c r="D73">
        <f t="shared" si="4"/>
        <v>2.8603034001135437E-3</v>
      </c>
    </row>
    <row r="74" spans="1:4" x14ac:dyDescent="0.25">
      <c r="A74" s="2">
        <v>69</v>
      </c>
      <c r="B74" s="3">
        <v>3.1224263090747746E-3</v>
      </c>
      <c r="C74">
        <f t="shared" si="3"/>
        <v>69</v>
      </c>
      <c r="D74">
        <f t="shared" si="4"/>
        <v>2.8018512593527734E-3</v>
      </c>
    </row>
    <row r="75" spans="1:4" x14ac:dyDescent="0.25">
      <c r="A75" s="2">
        <v>70</v>
      </c>
      <c r="B75" s="3">
        <v>3.0996365837997553E-3</v>
      </c>
      <c r="C75">
        <f t="shared" si="3"/>
        <v>70</v>
      </c>
      <c r="D75">
        <f t="shared" si="4"/>
        <v>2.7770379486918807E-3</v>
      </c>
    </row>
    <row r="76" spans="1:4" x14ac:dyDescent="0.25">
      <c r="A76" s="2">
        <v>71</v>
      </c>
      <c r="B76" s="3">
        <v>3.1959584714760661E-3</v>
      </c>
      <c r="C76">
        <f t="shared" si="3"/>
        <v>71</v>
      </c>
      <c r="D76">
        <f t="shared" si="4"/>
        <v>2.8588431040243419E-3</v>
      </c>
    </row>
    <row r="77" spans="1:4" x14ac:dyDescent="0.25">
      <c r="A77" s="2">
        <v>72</v>
      </c>
      <c r="B77" s="3">
        <v>3.2473887973846149E-3</v>
      </c>
      <c r="C77">
        <f t="shared" si="3"/>
        <v>72</v>
      </c>
      <c r="D77">
        <f t="shared" si="4"/>
        <v>2.9002914340597961E-3</v>
      </c>
    </row>
    <row r="78" spans="1:4" x14ac:dyDescent="0.25">
      <c r="A78" s="2">
        <v>73</v>
      </c>
      <c r="B78" s="3">
        <v>3.2838299008847525E-3</v>
      </c>
      <c r="C78">
        <f t="shared" si="3"/>
        <v>73</v>
      </c>
      <c r="D78">
        <f t="shared" si="4"/>
        <v>2.9282365856025342E-3</v>
      </c>
    </row>
    <row r="79" spans="1:4" x14ac:dyDescent="0.25">
      <c r="A79" s="2">
        <v>74</v>
      </c>
      <c r="B79" s="3">
        <v>3.0618226647723063E-3</v>
      </c>
      <c r="C79">
        <f t="shared" si="3"/>
        <v>74</v>
      </c>
      <c r="D79">
        <f t="shared" si="4"/>
        <v>2.7259864993768633E-3</v>
      </c>
    </row>
    <row r="80" spans="1:4" x14ac:dyDescent="0.25">
      <c r="A80" s="2">
        <v>75</v>
      </c>
      <c r="B80" s="3">
        <v>3.3273730272586855E-3</v>
      </c>
      <c r="C80">
        <f t="shared" si="3"/>
        <v>75</v>
      </c>
      <c r="D80">
        <f t="shared" si="4"/>
        <v>2.9577626231345471E-3</v>
      </c>
    </row>
    <row r="81" spans="1:4" x14ac:dyDescent="0.25">
      <c r="A81" s="2">
        <v>76</v>
      </c>
      <c r="B81" s="3">
        <v>3.2983344811941492E-3</v>
      </c>
      <c r="C81">
        <f t="shared" si="3"/>
        <v>76</v>
      </c>
      <c r="D81">
        <f t="shared" si="4"/>
        <v>2.9273501799723764E-3</v>
      </c>
    </row>
    <row r="82" spans="1:4" x14ac:dyDescent="0.25">
      <c r="A82" s="2">
        <v>77</v>
      </c>
      <c r="B82" s="3">
        <v>3.3928905197195447E-3</v>
      </c>
      <c r="C82">
        <f t="shared" si="3"/>
        <v>77</v>
      </c>
      <c r="D82">
        <f t="shared" si="4"/>
        <v>3.0065469236248946E-3</v>
      </c>
    </row>
    <row r="83" spans="1:4" x14ac:dyDescent="0.25">
      <c r="A83" s="2">
        <v>78</v>
      </c>
      <c r="B83" s="3">
        <v>3.5139402497796563E-3</v>
      </c>
      <c r="C83">
        <f t="shared" si="3"/>
        <v>78</v>
      </c>
      <c r="D83">
        <f t="shared" si="4"/>
        <v>3.1089280432332615E-3</v>
      </c>
    </row>
    <row r="84" spans="1:4" x14ac:dyDescent="0.25">
      <c r="A84" s="2">
        <v>79</v>
      </c>
      <c r="B84" s="3">
        <v>3.5620845992438647E-3</v>
      </c>
      <c r="C84">
        <f t="shared" si="3"/>
        <v>79</v>
      </c>
      <c r="D84">
        <f t="shared" si="4"/>
        <v>3.1465793276951371E-3</v>
      </c>
    </row>
    <row r="85" spans="1:4" x14ac:dyDescent="0.25">
      <c r="A85" s="2">
        <v>80</v>
      </c>
      <c r="B85" s="3">
        <v>3.4740525309206326E-3</v>
      </c>
      <c r="C85">
        <f t="shared" si="3"/>
        <v>80</v>
      </c>
      <c r="D85">
        <f t="shared" si="4"/>
        <v>3.0640016453358145E-3</v>
      </c>
    </row>
    <row r="86" spans="1:4" x14ac:dyDescent="0.25">
      <c r="A86" s="2">
        <v>81</v>
      </c>
      <c r="B86" s="3">
        <v>3.6237073967286112E-3</v>
      </c>
      <c r="C86">
        <f t="shared" si="3"/>
        <v>81</v>
      </c>
      <c r="D86">
        <f t="shared" si="4"/>
        <v>3.1909786114620699E-3</v>
      </c>
    </row>
    <row r="87" spans="1:4" x14ac:dyDescent="0.25">
      <c r="A87" s="2">
        <v>82</v>
      </c>
      <c r="B87" s="3">
        <v>3.7810975476477949E-3</v>
      </c>
      <c r="C87">
        <f t="shared" si="3"/>
        <v>82</v>
      </c>
      <c r="D87">
        <f t="shared" si="4"/>
        <v>3.324350524353684E-3</v>
      </c>
    </row>
    <row r="88" spans="1:4" x14ac:dyDescent="0.25">
      <c r="A88" s="2">
        <v>83</v>
      </c>
      <c r="B88" s="3">
        <v>3.5378976528586546E-3</v>
      </c>
      <c r="C88">
        <f t="shared" si="3"/>
        <v>83</v>
      </c>
      <c r="D88">
        <f t="shared" si="4"/>
        <v>3.1056488636501821E-3</v>
      </c>
    </row>
    <row r="89" spans="1:4" x14ac:dyDescent="0.25">
      <c r="A89" s="2">
        <v>84</v>
      </c>
      <c r="B89" s="3">
        <v>3.5442288294530232E-3</v>
      </c>
      <c r="C89">
        <f t="shared" si="3"/>
        <v>84</v>
      </c>
      <c r="D89">
        <f t="shared" si="4"/>
        <v>3.1063257559179242E-3</v>
      </c>
    </row>
    <row r="90" spans="1:4" x14ac:dyDescent="0.25">
      <c r="A90" s="2">
        <v>85</v>
      </c>
      <c r="B90" s="3">
        <v>3.2876621097114229E-3</v>
      </c>
      <c r="C90">
        <f t="shared" si="3"/>
        <v>85</v>
      </c>
      <c r="D90">
        <f t="shared" si="4"/>
        <v>2.8769384980431869E-3</v>
      </c>
    </row>
    <row r="91" spans="1:4" x14ac:dyDescent="0.25">
      <c r="A91" s="2">
        <v>86</v>
      </c>
      <c r="B91" s="3">
        <v>3.4095290809932144E-3</v>
      </c>
      <c r="C91">
        <f t="shared" si="3"/>
        <v>86</v>
      </c>
      <c r="D91">
        <f t="shared" si="4"/>
        <v>2.9789002308264522E-3</v>
      </c>
    </row>
    <row r="92" spans="1:4" x14ac:dyDescent="0.25">
      <c r="A92" s="2">
        <v>87</v>
      </c>
      <c r="B92" s="3">
        <v>3.7707770371602943E-3</v>
      </c>
      <c r="C92">
        <f t="shared" si="3"/>
        <v>87</v>
      </c>
      <c r="D92">
        <f t="shared" si="4"/>
        <v>3.2893536643564185E-3</v>
      </c>
    </row>
    <row r="93" spans="1:4" x14ac:dyDescent="0.25">
      <c r="A93" s="2">
        <v>88</v>
      </c>
      <c r="B93" s="3">
        <v>3.7035314671149447E-3</v>
      </c>
      <c r="C93">
        <f t="shared" si="3"/>
        <v>88</v>
      </c>
      <c r="D93">
        <f t="shared" si="4"/>
        <v>3.2256252745090988E-3</v>
      </c>
    </row>
    <row r="94" spans="1:4" x14ac:dyDescent="0.25">
      <c r="A94" s="2">
        <v>89</v>
      </c>
      <c r="B94" s="3">
        <v>3.4708477466317477E-3</v>
      </c>
      <c r="C94">
        <f t="shared" si="3"/>
        <v>89</v>
      </c>
      <c r="D94">
        <f t="shared" si="4"/>
        <v>3.0182248830637288E-3</v>
      </c>
    </row>
    <row r="95" spans="1:4" x14ac:dyDescent="0.25">
      <c r="A95" s="2">
        <v>90</v>
      </c>
      <c r="B95" s="3">
        <v>3.6467539265902867E-3</v>
      </c>
      <c r="C95">
        <f t="shared" si="3"/>
        <v>90</v>
      </c>
      <c r="D95">
        <f t="shared" si="4"/>
        <v>3.1662168001011302E-3</v>
      </c>
    </row>
    <row r="96" spans="1:4" x14ac:dyDescent="0.25">
      <c r="A96" s="2">
        <v>91</v>
      </c>
      <c r="B96" s="3">
        <v>3.7976402150842162E-3</v>
      </c>
      <c r="C96">
        <f t="shared" si="3"/>
        <v>91</v>
      </c>
      <c r="D96">
        <f t="shared" si="4"/>
        <v>3.2920480470549009E-3</v>
      </c>
    </row>
    <row r="97" spans="1:4" x14ac:dyDescent="0.25">
      <c r="A97" s="2">
        <v>92</v>
      </c>
      <c r="B97" s="3">
        <v>3.7317531387105665E-3</v>
      </c>
      <c r="C97">
        <f t="shared" si="3"/>
        <v>92</v>
      </c>
      <c r="D97">
        <f t="shared" si="4"/>
        <v>3.2298578714314301E-3</v>
      </c>
    </row>
    <row r="98" spans="1:4" x14ac:dyDescent="0.25">
      <c r="A98" s="2">
        <v>93</v>
      </c>
      <c r="B98" s="3">
        <v>3.6001504122769525E-3</v>
      </c>
      <c r="C98">
        <f t="shared" si="3"/>
        <v>93</v>
      </c>
      <c r="D98">
        <f t="shared" si="4"/>
        <v>3.1110666005709363E-3</v>
      </c>
    </row>
    <row r="99" spans="1:4" x14ac:dyDescent="0.25">
      <c r="A99" s="2">
        <v>94</v>
      </c>
      <c r="B99" s="3">
        <v>3.6032085350412332E-3</v>
      </c>
      <c r="C99">
        <f t="shared" si="3"/>
        <v>94</v>
      </c>
      <c r="D99">
        <f t="shared" si="4"/>
        <v>3.1088245864106527E-3</v>
      </c>
    </row>
    <row r="100" spans="1:4" x14ac:dyDescent="0.25">
      <c r="A100" s="2">
        <v>95</v>
      </c>
      <c r="B100" s="3">
        <v>3.6796367097857432E-3</v>
      </c>
      <c r="C100">
        <f t="shared" si="3"/>
        <v>95</v>
      </c>
      <c r="D100">
        <f t="shared" si="4"/>
        <v>3.1697858396619949E-3</v>
      </c>
    </row>
    <row r="101" spans="1:4" x14ac:dyDescent="0.25">
      <c r="A101" s="2">
        <v>96</v>
      </c>
      <c r="B101" s="3">
        <v>3.79071043379293E-3</v>
      </c>
      <c r="C101">
        <f t="shared" si="3"/>
        <v>96</v>
      </c>
      <c r="D101">
        <f t="shared" si="4"/>
        <v>3.2603464119819927E-3</v>
      </c>
    </row>
    <row r="102" spans="1:4" x14ac:dyDescent="0.25">
      <c r="A102" s="2">
        <v>97</v>
      </c>
      <c r="B102" s="3">
        <v>3.7017607185826007E-3</v>
      </c>
      <c r="C102">
        <f t="shared" si="3"/>
        <v>97</v>
      </c>
      <c r="D102">
        <f t="shared" si="4"/>
        <v>3.1788470760348016E-3</v>
      </c>
    </row>
    <row r="103" spans="1:4" x14ac:dyDescent="0.25">
      <c r="A103" s="2">
        <v>98</v>
      </c>
      <c r="B103" s="3">
        <v>3.6136860442238187E-3</v>
      </c>
      <c r="C103">
        <f t="shared" si="3"/>
        <v>98</v>
      </c>
      <c r="D103">
        <f t="shared" si="4"/>
        <v>3.0983456764649862E-3</v>
      </c>
    </row>
    <row r="104" spans="1:4" x14ac:dyDescent="0.25">
      <c r="A104" s="2">
        <v>99</v>
      </c>
      <c r="B104" s="3">
        <v>3.5016880641602997E-3</v>
      </c>
      <c r="C104">
        <f t="shared" si="3"/>
        <v>99</v>
      </c>
      <c r="D104">
        <f t="shared" si="4"/>
        <v>2.9976095556824211E-3</v>
      </c>
    </row>
    <row r="105" spans="1:4" x14ac:dyDescent="0.25">
      <c r="A105" s="2">
        <v>100</v>
      </c>
      <c r="B105" s="3">
        <v>3.5911588119740927E-3</v>
      </c>
      <c r="C105">
        <f t="shared" si="3"/>
        <v>100</v>
      </c>
      <c r="D105">
        <f t="shared" si="4"/>
        <v>3.0693780124531529E-3</v>
      </c>
    </row>
    <row r="106" spans="1:4" x14ac:dyDescent="0.25">
      <c r="A106" s="2">
        <v>101</v>
      </c>
      <c r="B106" s="3">
        <v>3.2771585254705985E-3</v>
      </c>
      <c r="C106">
        <f t="shared" si="3"/>
        <v>101</v>
      </c>
      <c r="D106">
        <f t="shared" si="4"/>
        <v>2.7966065723079377E-3</v>
      </c>
    </row>
    <row r="107" spans="1:4" x14ac:dyDescent="0.25">
      <c r="A107" s="2">
        <v>102</v>
      </c>
      <c r="B107" s="3">
        <v>3.2148155835015004E-3</v>
      </c>
      <c r="C107">
        <f t="shared" si="3"/>
        <v>102</v>
      </c>
      <c r="D107">
        <f t="shared" si="4"/>
        <v>2.7391016310797903E-3</v>
      </c>
    </row>
    <row r="108" spans="1:4" x14ac:dyDescent="0.25">
      <c r="A108" s="2">
        <v>103</v>
      </c>
      <c r="B108" s="3">
        <v>3.3238526507725903E-3</v>
      </c>
      <c r="C108">
        <f t="shared" si="3"/>
        <v>103</v>
      </c>
      <c r="D108">
        <f t="shared" si="4"/>
        <v>2.8275611258763399E-3</v>
      </c>
    </row>
    <row r="109" spans="1:4" x14ac:dyDescent="0.25">
      <c r="A109" s="2">
        <v>104</v>
      </c>
      <c r="B109" s="3">
        <v>3.2695164674932621E-3</v>
      </c>
      <c r="C109">
        <f t="shared" si="3"/>
        <v>104</v>
      </c>
      <c r="D109">
        <f t="shared" si="4"/>
        <v>2.7769747193696803E-3</v>
      </c>
    </row>
    <row r="110" spans="1:4" x14ac:dyDescent="0.25">
      <c r="A110" s="2">
        <v>105</v>
      </c>
      <c r="B110" s="3">
        <v>3.1614771906492939E-3</v>
      </c>
      <c r="C110">
        <f t="shared" si="3"/>
        <v>105</v>
      </c>
      <c r="D110">
        <f t="shared" si="4"/>
        <v>2.6809987252181429E-3</v>
      </c>
    </row>
    <row r="111" spans="1:4" x14ac:dyDescent="0.25">
      <c r="A111" s="2">
        <v>106</v>
      </c>
      <c r="B111" s="3">
        <v>3.2607650877442863E-3</v>
      </c>
      <c r="C111">
        <f t="shared" si="3"/>
        <v>106</v>
      </c>
      <c r="D111">
        <f t="shared" si="4"/>
        <v>2.7608589838349971E-3</v>
      </c>
    </row>
    <row r="112" spans="1:4" x14ac:dyDescent="0.25">
      <c r="A112" s="2">
        <v>107</v>
      </c>
      <c r="B112" s="3">
        <v>3.1341043840250101E-3</v>
      </c>
      <c r="C112">
        <f t="shared" si="3"/>
        <v>107</v>
      </c>
      <c r="D112">
        <f t="shared" si="4"/>
        <v>2.6494536537416077E-3</v>
      </c>
    </row>
    <row r="113" spans="1:4" x14ac:dyDescent="0.25">
      <c r="A113" s="2">
        <v>108</v>
      </c>
      <c r="B113" s="3">
        <v>3.2949286550140681E-3</v>
      </c>
      <c r="C113">
        <f t="shared" si="3"/>
        <v>108</v>
      </c>
      <c r="D113">
        <f t="shared" si="4"/>
        <v>2.7810387673231612E-3</v>
      </c>
    </row>
    <row r="114" spans="1:4" x14ac:dyDescent="0.25">
      <c r="A114" s="2">
        <v>109</v>
      </c>
      <c r="B114" s="3">
        <v>3.2801060277807678E-3</v>
      </c>
      <c r="C114">
        <f t="shared" si="3"/>
        <v>109</v>
      </c>
      <c r="D114">
        <f t="shared" si="4"/>
        <v>2.7641847561112637E-3</v>
      </c>
    </row>
    <row r="115" spans="1:4" x14ac:dyDescent="0.25">
      <c r="A115" s="2">
        <v>110</v>
      </c>
      <c r="B115" s="3">
        <v>3.2163867662594993E-3</v>
      </c>
      <c r="C115">
        <f t="shared" si="3"/>
        <v>110</v>
      </c>
      <c r="D115">
        <f t="shared" si="4"/>
        <v>2.7062356419134733E-3</v>
      </c>
    </row>
    <row r="116" spans="1:4" x14ac:dyDescent="0.25">
      <c r="A116" s="2">
        <v>111</v>
      </c>
      <c r="B116" s="3">
        <v>3.3410311923735714E-3</v>
      </c>
      <c r="C116">
        <f t="shared" si="3"/>
        <v>111</v>
      </c>
      <c r="D116">
        <f t="shared" si="4"/>
        <v>2.8067002345548006E-3</v>
      </c>
    </row>
    <row r="117" spans="1:4" x14ac:dyDescent="0.25">
      <c r="A117" s="2">
        <v>112</v>
      </c>
      <c r="B117" s="3">
        <v>3.1060838275731905E-3</v>
      </c>
      <c r="C117">
        <f t="shared" si="3"/>
        <v>112</v>
      </c>
      <c r="D117">
        <f t="shared" si="4"/>
        <v>2.6052345597396631E-3</v>
      </c>
    </row>
    <row r="118" spans="1:4" x14ac:dyDescent="0.25">
      <c r="A118" s="2">
        <v>113</v>
      </c>
      <c r="B118" s="3">
        <v>3.1517515154133686E-3</v>
      </c>
      <c r="C118">
        <f t="shared" si="3"/>
        <v>113</v>
      </c>
      <c r="D118">
        <f t="shared" si="4"/>
        <v>2.6393913331352829E-3</v>
      </c>
    </row>
    <row r="119" spans="1:4" x14ac:dyDescent="0.25">
      <c r="A119" s="2">
        <v>114</v>
      </c>
      <c r="B119" s="3">
        <v>2.8926345808746377E-3</v>
      </c>
      <c r="C119">
        <f t="shared" si="3"/>
        <v>114</v>
      </c>
      <c r="D119">
        <f t="shared" si="4"/>
        <v>2.4185972093296263E-3</v>
      </c>
    </row>
    <row r="120" spans="1:4" x14ac:dyDescent="0.25">
      <c r="A120" s="2">
        <v>115</v>
      </c>
      <c r="B120" s="3">
        <v>3.1699735230235641E-3</v>
      </c>
      <c r="C120">
        <f t="shared" si="3"/>
        <v>115</v>
      </c>
      <c r="D120">
        <f t="shared" si="4"/>
        <v>2.6463285736979059E-3</v>
      </c>
    </row>
    <row r="121" spans="1:4" x14ac:dyDescent="0.25">
      <c r="A121" s="2">
        <v>116</v>
      </c>
      <c r="B121" s="3">
        <v>3.3112172497183666E-3</v>
      </c>
      <c r="C121">
        <f t="shared" si="3"/>
        <v>116</v>
      </c>
      <c r="D121">
        <f t="shared" si="4"/>
        <v>2.7599039294293002E-3</v>
      </c>
    </row>
    <row r="122" spans="1:4" x14ac:dyDescent="0.25">
      <c r="A122" s="2">
        <v>117</v>
      </c>
      <c r="B122" s="3">
        <v>3.2161764140258833E-3</v>
      </c>
      <c r="C122">
        <f t="shared" si="3"/>
        <v>117</v>
      </c>
      <c r="D122">
        <f t="shared" si="4"/>
        <v>2.6764818910455634E-3</v>
      </c>
    </row>
    <row r="123" spans="1:4" x14ac:dyDescent="0.25">
      <c r="A123" s="2">
        <v>118</v>
      </c>
      <c r="B123" s="3">
        <v>3.126632579497511E-3</v>
      </c>
      <c r="C123">
        <f t="shared" si="3"/>
        <v>118</v>
      </c>
      <c r="D123">
        <f t="shared" si="4"/>
        <v>2.5978821936656214E-3</v>
      </c>
    </row>
    <row r="124" spans="1:4" x14ac:dyDescent="0.25">
      <c r="A124" s="2">
        <v>119</v>
      </c>
      <c r="B124" s="3">
        <v>3.3070868113139755E-3</v>
      </c>
      <c r="C124">
        <f t="shared" si="3"/>
        <v>119</v>
      </c>
      <c r="D124">
        <f t="shared" si="4"/>
        <v>2.7435087981813899E-3</v>
      </c>
    </row>
    <row r="125" spans="1:4" x14ac:dyDescent="0.25">
      <c r="A125" s="2">
        <v>120</v>
      </c>
      <c r="B125" s="3">
        <v>3.3525732714091822E-3</v>
      </c>
      <c r="C125">
        <f t="shared" si="3"/>
        <v>120</v>
      </c>
      <c r="D125">
        <f t="shared" si="4"/>
        <v>2.7768805453666167E-3</v>
      </c>
    </row>
    <row r="126" spans="1:4" x14ac:dyDescent="0.25">
      <c r="A126" s="2">
        <v>121</v>
      </c>
      <c r="B126" s="3">
        <v>2.9662635065872789E-3</v>
      </c>
      <c r="C126">
        <f t="shared" si="3"/>
        <v>121</v>
      </c>
      <c r="D126">
        <f t="shared" si="4"/>
        <v>2.4530522909200821E-3</v>
      </c>
    </row>
    <row r="127" spans="1:4" x14ac:dyDescent="0.25">
      <c r="A127" s="2">
        <v>122</v>
      </c>
      <c r="B127" s="3">
        <v>3.021298647294958E-3</v>
      </c>
      <c r="C127">
        <f t="shared" si="3"/>
        <v>122</v>
      </c>
      <c r="D127">
        <f t="shared" si="4"/>
        <v>2.4946457985514313E-3</v>
      </c>
    </row>
    <row r="128" spans="1:4" x14ac:dyDescent="0.25">
      <c r="A128" s="2">
        <v>123</v>
      </c>
      <c r="B128" s="3">
        <v>3.4398920416205373E-3</v>
      </c>
      <c r="C128">
        <f t="shared" si="3"/>
        <v>123</v>
      </c>
      <c r="D128">
        <f t="shared" si="4"/>
        <v>2.8358170242707157E-3</v>
      </c>
    </row>
    <row r="129" spans="1:4" x14ac:dyDescent="0.25">
      <c r="A129" s="2">
        <v>124</v>
      </c>
      <c r="B129" s="3">
        <v>3.5659718646582897E-3</v>
      </c>
      <c r="C129">
        <f t="shared" si="3"/>
        <v>124</v>
      </c>
      <c r="D129">
        <f t="shared" si="4"/>
        <v>2.9351443358175862E-3</v>
      </c>
    </row>
    <row r="130" spans="1:4" x14ac:dyDescent="0.25">
      <c r="A130" s="2">
        <v>125</v>
      </c>
      <c r="B130" s="3">
        <v>3.0546714726856806E-3</v>
      </c>
      <c r="C130">
        <f t="shared" si="3"/>
        <v>125</v>
      </c>
      <c r="D130">
        <f t="shared" si="4"/>
        <v>2.510349657600699E-3</v>
      </c>
    </row>
    <row r="131" spans="1:4" x14ac:dyDescent="0.25">
      <c r="A131" s="2">
        <v>126</v>
      </c>
      <c r="B131" s="3">
        <v>3.4981299449421323E-3</v>
      </c>
      <c r="C131">
        <f t="shared" si="3"/>
        <v>126</v>
      </c>
      <c r="D131">
        <f t="shared" si="4"/>
        <v>2.8702769525449871E-3</v>
      </c>
    </row>
    <row r="132" spans="1:4" x14ac:dyDescent="0.25">
      <c r="A132" s="2">
        <v>127</v>
      </c>
      <c r="B132" s="3">
        <v>3.3310941303356109E-3</v>
      </c>
      <c r="C132">
        <f t="shared" si="3"/>
        <v>127</v>
      </c>
      <c r="D132">
        <f t="shared" si="4"/>
        <v>2.7289333476305452E-3</v>
      </c>
    </row>
    <row r="133" spans="1:4" x14ac:dyDescent="0.25">
      <c r="A133" s="2">
        <v>128</v>
      </c>
      <c r="B133" s="3">
        <v>3.3887611034208757E-3</v>
      </c>
      <c r="C133">
        <f t="shared" si="3"/>
        <v>128</v>
      </c>
      <c r="D133">
        <f t="shared" si="4"/>
        <v>2.7718207046648676E-3</v>
      </c>
    </row>
    <row r="134" spans="1:4" x14ac:dyDescent="0.25">
      <c r="A134" s="2">
        <v>129</v>
      </c>
      <c r="B134" s="3">
        <v>3.259150613129817E-3</v>
      </c>
      <c r="C134">
        <f t="shared" ref="C134:C197" si="5">$A134</f>
        <v>129</v>
      </c>
      <c r="D134">
        <f t="shared" ref="D134:D197" si="6">B134*EXP(-$F$2*C134)</f>
        <v>2.6616244005647069E-3</v>
      </c>
    </row>
    <row r="135" spans="1:4" x14ac:dyDescent="0.25">
      <c r="A135" s="2">
        <v>130</v>
      </c>
      <c r="B135" s="3">
        <v>3.2412864023328093E-3</v>
      </c>
      <c r="C135">
        <f t="shared" si="5"/>
        <v>130</v>
      </c>
      <c r="D135">
        <f t="shared" si="6"/>
        <v>2.6428827938492026E-3</v>
      </c>
    </row>
    <row r="136" spans="1:4" x14ac:dyDescent="0.25">
      <c r="A136" s="2">
        <v>131</v>
      </c>
      <c r="B136" s="3">
        <v>3.4601073624709725E-3</v>
      </c>
      <c r="C136">
        <f t="shared" si="5"/>
        <v>131</v>
      </c>
      <c r="D136">
        <f t="shared" si="6"/>
        <v>2.8168792358545624E-3</v>
      </c>
    </row>
    <row r="137" spans="1:4" x14ac:dyDescent="0.25">
      <c r="A137" s="2">
        <v>132</v>
      </c>
      <c r="B137" s="3">
        <v>3.4537610724992185E-3</v>
      </c>
      <c r="C137">
        <f t="shared" si="5"/>
        <v>132</v>
      </c>
      <c r="D137">
        <f t="shared" si="6"/>
        <v>2.807301785018848E-3</v>
      </c>
    </row>
    <row r="138" spans="1:4" x14ac:dyDescent="0.25">
      <c r="A138" s="2">
        <v>133</v>
      </c>
      <c r="B138" s="3">
        <v>3.4162571656343472E-3</v>
      </c>
      <c r="C138">
        <f t="shared" si="5"/>
        <v>133</v>
      </c>
      <c r="D138">
        <f t="shared" si="6"/>
        <v>2.7724615055746723E-3</v>
      </c>
    </row>
    <row r="139" spans="1:4" x14ac:dyDescent="0.25">
      <c r="A139" s="2">
        <v>134</v>
      </c>
      <c r="B139" s="3">
        <v>3.6289475660033657E-3</v>
      </c>
      <c r="C139">
        <f t="shared" si="5"/>
        <v>134</v>
      </c>
      <c r="D139">
        <f t="shared" si="6"/>
        <v>2.9404501430724222E-3</v>
      </c>
    </row>
    <row r="140" spans="1:4" x14ac:dyDescent="0.25">
      <c r="A140" s="2">
        <v>135</v>
      </c>
      <c r="B140" s="3">
        <v>3.4299518892000258E-3</v>
      </c>
      <c r="C140">
        <f t="shared" si="5"/>
        <v>135</v>
      </c>
      <c r="D140">
        <f t="shared" si="6"/>
        <v>2.7748487316824246E-3</v>
      </c>
    </row>
    <row r="141" spans="1:4" x14ac:dyDescent="0.25">
      <c r="A141" s="2">
        <v>136</v>
      </c>
      <c r="B141" s="3">
        <v>3.4405822706378678E-3</v>
      </c>
      <c r="C141">
        <f t="shared" si="5"/>
        <v>136</v>
      </c>
      <c r="D141">
        <f t="shared" si="6"/>
        <v>2.7790821790840644E-3</v>
      </c>
    </row>
    <row r="142" spans="1:4" x14ac:dyDescent="0.25">
      <c r="A142" s="2">
        <v>137</v>
      </c>
      <c r="B142" s="3">
        <v>3.7639548268749738E-3</v>
      </c>
      <c r="C142">
        <f t="shared" si="5"/>
        <v>137</v>
      </c>
      <c r="D142">
        <f t="shared" si="6"/>
        <v>3.0355123384254905E-3</v>
      </c>
    </row>
    <row r="143" spans="1:4" x14ac:dyDescent="0.25">
      <c r="A143" s="2">
        <v>138</v>
      </c>
      <c r="B143" s="3">
        <v>3.6331640031631047E-3</v>
      </c>
      <c r="C143">
        <f t="shared" si="5"/>
        <v>138</v>
      </c>
      <c r="D143">
        <f t="shared" si="6"/>
        <v>2.9254370690785002E-3</v>
      </c>
    </row>
    <row r="144" spans="1:4" x14ac:dyDescent="0.25">
      <c r="A144" s="2">
        <v>139</v>
      </c>
      <c r="B144" s="3">
        <v>3.592095644294125E-3</v>
      </c>
      <c r="C144">
        <f t="shared" si="5"/>
        <v>139</v>
      </c>
      <c r="D144">
        <f t="shared" si="6"/>
        <v>2.8878312189071975E-3</v>
      </c>
    </row>
    <row r="145" spans="1:4" x14ac:dyDescent="0.25">
      <c r="A145" s="2">
        <v>140</v>
      </c>
      <c r="B145" s="3">
        <v>3.6666606826204441E-3</v>
      </c>
      <c r="C145">
        <f t="shared" si="5"/>
        <v>140</v>
      </c>
      <c r="D145">
        <f t="shared" si="6"/>
        <v>2.943152695232756E-3</v>
      </c>
    </row>
    <row r="146" spans="1:4" x14ac:dyDescent="0.25">
      <c r="A146" s="2">
        <v>141</v>
      </c>
      <c r="B146" s="3">
        <v>3.7851267798188824E-3</v>
      </c>
      <c r="C146">
        <f t="shared" si="5"/>
        <v>141</v>
      </c>
      <c r="D146">
        <f t="shared" si="6"/>
        <v>3.0334766823543495E-3</v>
      </c>
    </row>
    <row r="147" spans="1:4" x14ac:dyDescent="0.25">
      <c r="A147" s="2">
        <v>142</v>
      </c>
      <c r="B147" s="3">
        <v>3.7902674509655114E-3</v>
      </c>
      <c r="C147">
        <f t="shared" si="5"/>
        <v>142</v>
      </c>
      <c r="D147">
        <f t="shared" si="6"/>
        <v>3.032831234730421E-3</v>
      </c>
    </row>
    <row r="148" spans="1:4" x14ac:dyDescent="0.25">
      <c r="A148" s="2">
        <v>143</v>
      </c>
      <c r="B148" s="3">
        <v>3.665364031184417E-3</v>
      </c>
      <c r="C148">
        <f t="shared" si="5"/>
        <v>143</v>
      </c>
      <c r="D148">
        <f t="shared" si="6"/>
        <v>2.9282871357710761E-3</v>
      </c>
    </row>
    <row r="149" spans="1:4" x14ac:dyDescent="0.25">
      <c r="A149" s="2">
        <v>144</v>
      </c>
      <c r="B149" s="3">
        <v>3.4948261710288833E-3</v>
      </c>
      <c r="C149">
        <f t="shared" si="5"/>
        <v>144</v>
      </c>
      <c r="D149">
        <f t="shared" si="6"/>
        <v>2.7876630768377711E-3</v>
      </c>
    </row>
    <row r="150" spans="1:4" x14ac:dyDescent="0.25">
      <c r="A150" s="2">
        <v>145</v>
      </c>
      <c r="B150" s="3">
        <v>3.50754832076403E-3</v>
      </c>
      <c r="C150">
        <f t="shared" si="5"/>
        <v>145</v>
      </c>
      <c r="D150">
        <f t="shared" si="6"/>
        <v>2.7934218372712687E-3</v>
      </c>
    </row>
    <row r="151" spans="1:4" x14ac:dyDescent="0.25">
      <c r="A151" s="2">
        <v>146</v>
      </c>
      <c r="B151" s="3">
        <v>3.7078539013078592E-3</v>
      </c>
      <c r="C151">
        <f t="shared" si="5"/>
        <v>146</v>
      </c>
      <c r="D151">
        <f t="shared" si="6"/>
        <v>2.9483133054966971E-3</v>
      </c>
    </row>
    <row r="152" spans="1:4" x14ac:dyDescent="0.25">
      <c r="A152" s="2">
        <v>147</v>
      </c>
      <c r="B152" s="3">
        <v>3.4161880448627521E-3</v>
      </c>
      <c r="C152">
        <f t="shared" si="5"/>
        <v>147</v>
      </c>
      <c r="D152">
        <f t="shared" si="6"/>
        <v>2.7121327626871638E-3</v>
      </c>
    </row>
    <row r="153" spans="1:4" x14ac:dyDescent="0.25">
      <c r="A153" s="2">
        <v>148</v>
      </c>
      <c r="B153" s="3">
        <v>3.3913697098138179E-3</v>
      </c>
      <c r="C153">
        <f t="shared" si="5"/>
        <v>148</v>
      </c>
      <c r="D153">
        <f t="shared" si="6"/>
        <v>2.6882055358870365E-3</v>
      </c>
    </row>
    <row r="154" spans="1:4" x14ac:dyDescent="0.25">
      <c r="A154" s="2">
        <v>149</v>
      </c>
      <c r="B154" s="3">
        <v>3.3051116403329424E-3</v>
      </c>
      <c r="C154">
        <f t="shared" si="5"/>
        <v>149</v>
      </c>
      <c r="D154">
        <f t="shared" si="6"/>
        <v>2.6157222435801895E-3</v>
      </c>
    </row>
    <row r="155" spans="1:4" x14ac:dyDescent="0.25">
      <c r="A155" s="2">
        <v>150</v>
      </c>
      <c r="B155" s="3">
        <v>3.4731766455353692E-3</v>
      </c>
      <c r="C155">
        <f t="shared" si="5"/>
        <v>150</v>
      </c>
      <c r="D155">
        <f t="shared" si="6"/>
        <v>2.7444196586326225E-3</v>
      </c>
    </row>
    <row r="156" spans="1:4" x14ac:dyDescent="0.25">
      <c r="A156" s="2">
        <v>151</v>
      </c>
      <c r="B156" s="3">
        <v>3.2050767272700374E-3</v>
      </c>
      <c r="C156">
        <f t="shared" si="5"/>
        <v>151</v>
      </c>
      <c r="D156">
        <f t="shared" si="6"/>
        <v>2.5286006070063456E-3</v>
      </c>
    </row>
    <row r="157" spans="1:4" x14ac:dyDescent="0.25">
      <c r="A157" s="2">
        <v>152</v>
      </c>
      <c r="B157" s="3">
        <v>3.3295335120678217E-3</v>
      </c>
      <c r="C157">
        <f t="shared" si="5"/>
        <v>152</v>
      </c>
      <c r="D157">
        <f t="shared" si="6"/>
        <v>2.6226682293948793E-3</v>
      </c>
    </row>
    <row r="158" spans="1:4" x14ac:dyDescent="0.25">
      <c r="A158" s="2">
        <v>153</v>
      </c>
      <c r="B158" s="3">
        <v>3.188836632086087E-3</v>
      </c>
      <c r="C158">
        <f t="shared" si="5"/>
        <v>153</v>
      </c>
      <c r="D158">
        <f t="shared" si="6"/>
        <v>2.5079010246702809E-3</v>
      </c>
    </row>
    <row r="159" spans="1:4" x14ac:dyDescent="0.25">
      <c r="A159" s="2">
        <v>154</v>
      </c>
      <c r="B159" s="3">
        <v>3.3097903524493197E-3</v>
      </c>
      <c r="C159">
        <f t="shared" si="5"/>
        <v>154</v>
      </c>
      <c r="D159">
        <f t="shared" si="6"/>
        <v>2.598943067176754E-3</v>
      </c>
    </row>
    <row r="160" spans="1:4" x14ac:dyDescent="0.25">
      <c r="A160" s="2">
        <v>155</v>
      </c>
      <c r="B160" s="3">
        <v>3.3031131095729105E-3</v>
      </c>
      <c r="C160">
        <f t="shared" si="5"/>
        <v>155</v>
      </c>
      <c r="D160">
        <f t="shared" si="6"/>
        <v>2.5896309891238214E-3</v>
      </c>
    </row>
    <row r="161" spans="1:4" x14ac:dyDescent="0.25">
      <c r="A161" s="2">
        <v>156</v>
      </c>
      <c r="B161" s="3">
        <v>3.0870145331048336E-3</v>
      </c>
      <c r="C161">
        <f t="shared" si="5"/>
        <v>156</v>
      </c>
      <c r="D161">
        <f t="shared" si="6"/>
        <v>2.4164135900346406E-3</v>
      </c>
    </row>
    <row r="162" spans="1:4" x14ac:dyDescent="0.25">
      <c r="A162" s="2">
        <v>157</v>
      </c>
      <c r="B162" s="3">
        <v>3.2304813072775939E-3</v>
      </c>
      <c r="C162">
        <f t="shared" si="5"/>
        <v>157</v>
      </c>
      <c r="D162">
        <f t="shared" si="6"/>
        <v>2.5247477018472825E-3</v>
      </c>
    </row>
    <row r="163" spans="1:4" x14ac:dyDescent="0.25">
      <c r="A163" s="2">
        <v>158</v>
      </c>
      <c r="B163" s="3">
        <v>3.0763545196690677E-3</v>
      </c>
      <c r="C163">
        <f t="shared" si="5"/>
        <v>158</v>
      </c>
      <c r="D163">
        <f t="shared" si="6"/>
        <v>2.4005198029628783E-3</v>
      </c>
    </row>
    <row r="164" spans="1:4" x14ac:dyDescent="0.25">
      <c r="A164" s="2">
        <v>159</v>
      </c>
      <c r="B164" s="3">
        <v>3.0613804984549668E-3</v>
      </c>
      <c r="C164">
        <f t="shared" si="5"/>
        <v>159</v>
      </c>
      <c r="D164">
        <f t="shared" si="6"/>
        <v>2.3850878487411604E-3</v>
      </c>
    </row>
    <row r="165" spans="1:4" x14ac:dyDescent="0.25">
      <c r="A165" s="2">
        <v>160</v>
      </c>
      <c r="B165" s="3">
        <v>3.0203037064971015E-3</v>
      </c>
      <c r="C165">
        <f t="shared" si="5"/>
        <v>160</v>
      </c>
      <c r="D165">
        <f t="shared" si="6"/>
        <v>2.3493939267808166E-3</v>
      </c>
    </row>
    <row r="166" spans="1:4" x14ac:dyDescent="0.25">
      <c r="A166" s="2">
        <v>161</v>
      </c>
      <c r="B166" s="3">
        <v>2.7164026769507851E-3</v>
      </c>
      <c r="C166">
        <f t="shared" si="5"/>
        <v>161</v>
      </c>
      <c r="D166">
        <f t="shared" si="6"/>
        <v>2.1096846044144427E-3</v>
      </c>
    </row>
    <row r="167" spans="1:4" x14ac:dyDescent="0.25">
      <c r="A167" s="2">
        <v>162</v>
      </c>
      <c r="B167" s="3">
        <v>3.0343663368606129E-3</v>
      </c>
      <c r="C167">
        <f t="shared" si="5"/>
        <v>162</v>
      </c>
      <c r="D167">
        <f t="shared" si="6"/>
        <v>2.3529329586876799E-3</v>
      </c>
    </row>
    <row r="168" spans="1:4" x14ac:dyDescent="0.25">
      <c r="A168" s="2">
        <v>163</v>
      </c>
      <c r="B168" s="3">
        <v>3.0370839775248717E-3</v>
      </c>
      <c r="C168">
        <f t="shared" si="5"/>
        <v>163</v>
      </c>
      <c r="D168">
        <f t="shared" si="6"/>
        <v>2.3513457813461531E-3</v>
      </c>
    </row>
    <row r="169" spans="1:4" x14ac:dyDescent="0.25">
      <c r="A169" s="2">
        <v>164</v>
      </c>
      <c r="B169" s="3">
        <v>2.6997065930564005E-3</v>
      </c>
      <c r="C169">
        <f t="shared" si="5"/>
        <v>164</v>
      </c>
      <c r="D169">
        <f t="shared" si="6"/>
        <v>2.0868653297591946E-3</v>
      </c>
    </row>
    <row r="170" spans="1:4" x14ac:dyDescent="0.25">
      <c r="A170" s="2">
        <v>165</v>
      </c>
      <c r="B170" s="3">
        <v>2.8498436744424571E-3</v>
      </c>
      <c r="C170">
        <f t="shared" si="5"/>
        <v>165</v>
      </c>
      <c r="D170">
        <f t="shared" si="6"/>
        <v>2.1994649840115757E-3</v>
      </c>
    </row>
    <row r="171" spans="1:4" x14ac:dyDescent="0.25">
      <c r="A171" s="2">
        <v>166</v>
      </c>
      <c r="B171" s="3">
        <v>2.6303298307426629E-3</v>
      </c>
      <c r="C171">
        <f t="shared" si="5"/>
        <v>166</v>
      </c>
      <c r="D171">
        <f t="shared" si="6"/>
        <v>2.0268629425126187E-3</v>
      </c>
    </row>
    <row r="172" spans="1:4" x14ac:dyDescent="0.25">
      <c r="A172" s="2">
        <v>167</v>
      </c>
      <c r="B172" s="3">
        <v>2.4188899447168959E-3</v>
      </c>
      <c r="C172">
        <f t="shared" si="5"/>
        <v>167</v>
      </c>
      <c r="D172">
        <f t="shared" si="6"/>
        <v>1.861008852319782E-3</v>
      </c>
    </row>
    <row r="173" spans="1:4" x14ac:dyDescent="0.25">
      <c r="A173" s="2">
        <v>168</v>
      </c>
      <c r="B173" s="3">
        <v>2.4983176445194204E-3</v>
      </c>
      <c r="C173">
        <f t="shared" si="5"/>
        <v>168</v>
      </c>
      <c r="D173">
        <f t="shared" si="6"/>
        <v>1.9191023739524055E-3</v>
      </c>
    </row>
    <row r="174" spans="1:4" x14ac:dyDescent="0.25">
      <c r="A174" s="2">
        <v>169</v>
      </c>
      <c r="B174" s="3">
        <v>2.3572300313796308E-3</v>
      </c>
      <c r="C174">
        <f t="shared" si="5"/>
        <v>169</v>
      </c>
      <c r="D174">
        <f t="shared" si="6"/>
        <v>1.8078842052983532E-3</v>
      </c>
    </row>
    <row r="175" spans="1:4" x14ac:dyDescent="0.25">
      <c r="A175" s="2">
        <v>170</v>
      </c>
      <c r="B175" s="3">
        <v>2.2970050654903679E-3</v>
      </c>
      <c r="C175">
        <f t="shared" si="5"/>
        <v>170</v>
      </c>
      <c r="D175">
        <f t="shared" si="6"/>
        <v>1.7589308079519665E-3</v>
      </c>
    </row>
    <row r="176" spans="1:4" x14ac:dyDescent="0.25">
      <c r="A176" s="2">
        <v>171</v>
      </c>
      <c r="B176" s="3">
        <v>2.0799492410423447E-3</v>
      </c>
      <c r="C176">
        <f t="shared" si="5"/>
        <v>171</v>
      </c>
      <c r="D176">
        <f t="shared" si="6"/>
        <v>1.5902217788687019E-3</v>
      </c>
    </row>
    <row r="177" spans="1:4" x14ac:dyDescent="0.25">
      <c r="A177" s="2">
        <v>172</v>
      </c>
      <c r="B177" s="3">
        <v>2.0660248969824242E-3</v>
      </c>
      <c r="C177">
        <f t="shared" si="5"/>
        <v>172</v>
      </c>
      <c r="D177">
        <f t="shared" si="6"/>
        <v>1.5770979559658583E-3</v>
      </c>
    </row>
    <row r="178" spans="1:4" x14ac:dyDescent="0.25">
      <c r="A178" s="2">
        <v>173</v>
      </c>
      <c r="B178" s="3">
        <v>1.8629484948892822E-3</v>
      </c>
      <c r="C178">
        <f t="shared" si="5"/>
        <v>173</v>
      </c>
      <c r="D178">
        <f t="shared" si="6"/>
        <v>1.4198488821208547E-3</v>
      </c>
    </row>
    <row r="179" spans="1:4" x14ac:dyDescent="0.25">
      <c r="A179" s="2">
        <v>174</v>
      </c>
      <c r="B179" s="3">
        <v>1.8661670056532213E-3</v>
      </c>
      <c r="C179">
        <f t="shared" si="5"/>
        <v>174</v>
      </c>
      <c r="D179">
        <f t="shared" si="6"/>
        <v>1.4200706127969237E-3</v>
      </c>
    </row>
    <row r="180" spans="1:4" x14ac:dyDescent="0.25">
      <c r="A180" s="2">
        <v>175</v>
      </c>
      <c r="B180" s="3">
        <v>1.6919940750005731E-3</v>
      </c>
      <c r="C180">
        <f t="shared" si="5"/>
        <v>175</v>
      </c>
      <c r="D180">
        <f t="shared" si="6"/>
        <v>1.2855128700808424E-3</v>
      </c>
    </row>
    <row r="181" spans="1:4" x14ac:dyDescent="0.25">
      <c r="A181" s="2">
        <v>176</v>
      </c>
      <c r="B181" s="3">
        <v>1.5294561404054963E-3</v>
      </c>
      <c r="C181">
        <f t="shared" si="5"/>
        <v>176</v>
      </c>
      <c r="D181">
        <f t="shared" si="6"/>
        <v>1.1601997730359347E-3</v>
      </c>
    </row>
    <row r="182" spans="1:4" x14ac:dyDescent="0.25">
      <c r="A182" s="2">
        <v>177</v>
      </c>
      <c r="B182" s="3">
        <v>1.3978324490178664E-3</v>
      </c>
      <c r="C182">
        <f t="shared" si="5"/>
        <v>177</v>
      </c>
      <c r="D182">
        <f t="shared" si="6"/>
        <v>1.0586905202032092E-3</v>
      </c>
    </row>
    <row r="183" spans="1:4" x14ac:dyDescent="0.25">
      <c r="A183" s="2">
        <v>178</v>
      </c>
      <c r="B183" s="3">
        <v>1.2399530148217452E-3</v>
      </c>
      <c r="C183">
        <f t="shared" si="5"/>
        <v>178</v>
      </c>
      <c r="D183">
        <f t="shared" si="6"/>
        <v>9.3764251904789595E-4</v>
      </c>
    </row>
    <row r="184" spans="1:4" x14ac:dyDescent="0.25">
      <c r="A184" s="2">
        <v>179</v>
      </c>
      <c r="B184" s="3">
        <v>1.29012252289808E-3</v>
      </c>
      <c r="C184">
        <f t="shared" si="5"/>
        <v>179</v>
      </c>
      <c r="D184">
        <f t="shared" si="6"/>
        <v>9.7404983909576417E-4</v>
      </c>
    </row>
    <row r="185" spans="1:4" x14ac:dyDescent="0.25">
      <c r="A185" s="2">
        <v>180</v>
      </c>
      <c r="B185" s="3">
        <v>1.2686038962429552E-3</v>
      </c>
      <c r="C185">
        <f t="shared" si="5"/>
        <v>180</v>
      </c>
      <c r="D185">
        <f t="shared" si="6"/>
        <v>9.5630058251416081E-4</v>
      </c>
    </row>
    <row r="186" spans="1:4" x14ac:dyDescent="0.25">
      <c r="A186" s="2">
        <v>181</v>
      </c>
      <c r="B186" s="3">
        <v>9.4557446498765322E-4</v>
      </c>
      <c r="C186">
        <f t="shared" si="5"/>
        <v>181</v>
      </c>
      <c r="D186">
        <f t="shared" si="6"/>
        <v>7.1167592213754909E-4</v>
      </c>
    </row>
    <row r="187" spans="1:4" x14ac:dyDescent="0.25">
      <c r="A187" s="2">
        <v>182</v>
      </c>
      <c r="B187" s="3">
        <v>7.33060679804756E-4</v>
      </c>
      <c r="C187">
        <f t="shared" si="5"/>
        <v>182</v>
      </c>
      <c r="D187">
        <f t="shared" si="6"/>
        <v>5.5086429005573863E-4</v>
      </c>
    </row>
    <row r="188" spans="1:4" x14ac:dyDescent="0.25">
      <c r="A188" s="2">
        <v>183</v>
      </c>
      <c r="B188" s="3">
        <v>8.0318016865002289E-4</v>
      </c>
      <c r="C188">
        <f t="shared" si="5"/>
        <v>183</v>
      </c>
      <c r="D188">
        <f t="shared" si="6"/>
        <v>6.0260929910008632E-4</v>
      </c>
    </row>
    <row r="189" spans="1:4" x14ac:dyDescent="0.25">
      <c r="A189" s="2">
        <v>184</v>
      </c>
      <c r="B189" s="3">
        <v>5.2865651626423195E-4</v>
      </c>
      <c r="C189">
        <f t="shared" si="5"/>
        <v>184</v>
      </c>
      <c r="D189">
        <f t="shared" si="6"/>
        <v>3.9601770242064159E-4</v>
      </c>
    </row>
    <row r="190" spans="1:4" x14ac:dyDescent="0.25">
      <c r="A190" s="2">
        <v>185</v>
      </c>
      <c r="B190" s="3">
        <v>5.4484090621843861E-4</v>
      </c>
      <c r="C190">
        <f t="shared" si="5"/>
        <v>185</v>
      </c>
      <c r="D190">
        <f t="shared" si="6"/>
        <v>4.0750118345150973E-4</v>
      </c>
    </row>
    <row r="191" spans="1:4" x14ac:dyDescent="0.25">
      <c r="A191" s="2">
        <v>186</v>
      </c>
      <c r="B191" s="3">
        <v>3.8503400155791745E-4</v>
      </c>
      <c r="C191">
        <f t="shared" si="5"/>
        <v>186</v>
      </c>
      <c r="D191">
        <f t="shared" si="6"/>
        <v>2.8752552707532231E-4</v>
      </c>
    </row>
    <row r="192" spans="1:4" x14ac:dyDescent="0.25">
      <c r="A192" s="2">
        <v>187</v>
      </c>
      <c r="B192" s="3">
        <v>2.2010969835123786E-4</v>
      </c>
      <c r="C192">
        <f t="shared" si="5"/>
        <v>187</v>
      </c>
      <c r="D192">
        <f t="shared" si="6"/>
        <v>1.6410985496883998E-4</v>
      </c>
    </row>
    <row r="193" spans="1:4" x14ac:dyDescent="0.25">
      <c r="A193" s="2">
        <v>188</v>
      </c>
      <c r="B193" s="3">
        <v>1.8185505933387606E-4</v>
      </c>
      <c r="C193">
        <f t="shared" si="5"/>
        <v>188</v>
      </c>
      <c r="D193">
        <f t="shared" si="6"/>
        <v>1.3537517425378262E-4</v>
      </c>
    </row>
    <row r="194" spans="1:4" x14ac:dyDescent="0.25">
      <c r="A194" s="2">
        <v>189</v>
      </c>
      <c r="B194" s="3">
        <v>1.2397067831514087E-4</v>
      </c>
      <c r="C194">
        <f t="shared" si="5"/>
        <v>189</v>
      </c>
      <c r="D194">
        <f t="shared" si="6"/>
        <v>9.2140544819394225E-5</v>
      </c>
    </row>
    <row r="195" spans="1:4" x14ac:dyDescent="0.25">
      <c r="A195" s="2">
        <v>190</v>
      </c>
      <c r="B195" s="3">
        <v>4.9616398182135729E-5</v>
      </c>
      <c r="C195">
        <f t="shared" si="5"/>
        <v>190</v>
      </c>
      <c r="D195">
        <f t="shared" si="6"/>
        <v>3.6819271405603796E-5</v>
      </c>
    </row>
    <row r="196" spans="1:4" x14ac:dyDescent="0.25">
      <c r="A196" s="2">
        <v>191</v>
      </c>
      <c r="B196" s="3">
        <v>2.3458517242794461E-5</v>
      </c>
      <c r="C196">
        <f t="shared" si="5"/>
        <v>191</v>
      </c>
      <c r="D196">
        <f t="shared" si="6"/>
        <v>1.7380756355103528E-5</v>
      </c>
    </row>
    <row r="197" spans="1:4" x14ac:dyDescent="0.25">
      <c r="A197" s="2">
        <v>192</v>
      </c>
      <c r="B197" s="3">
        <v>2.4120045668185631E-6</v>
      </c>
      <c r="C197">
        <f t="shared" si="5"/>
        <v>192</v>
      </c>
      <c r="D197">
        <f t="shared" si="6"/>
        <v>1.7842857092097259E-6</v>
      </c>
    </row>
    <row r="198" spans="1:4" x14ac:dyDescent="0.25">
      <c r="A198" s="2">
        <v>193</v>
      </c>
      <c r="B198" s="3">
        <v>0</v>
      </c>
    </row>
    <row r="199" spans="1:4" x14ac:dyDescent="0.25">
      <c r="A199" s="2">
        <v>194</v>
      </c>
      <c r="B199" s="3">
        <v>0</v>
      </c>
    </row>
    <row r="200" spans="1:4" x14ac:dyDescent="0.25">
      <c r="A200" s="2">
        <v>195</v>
      </c>
      <c r="B200" s="3">
        <v>0</v>
      </c>
    </row>
    <row r="201" spans="1:4" x14ac:dyDescent="0.25">
      <c r="A201" s="2">
        <v>196</v>
      </c>
      <c r="B201" s="3">
        <v>0</v>
      </c>
    </row>
    <row r="202" spans="1:4" x14ac:dyDescent="0.25">
      <c r="A202" s="2">
        <v>197</v>
      </c>
      <c r="B202" s="3">
        <v>0</v>
      </c>
    </row>
    <row r="203" spans="1:4" x14ac:dyDescent="0.25">
      <c r="A203" s="2">
        <v>198</v>
      </c>
      <c r="B203" s="3">
        <v>0</v>
      </c>
    </row>
    <row r="204" spans="1:4" x14ac:dyDescent="0.25">
      <c r="A204" s="2">
        <v>199</v>
      </c>
      <c r="B204" s="3">
        <v>0</v>
      </c>
    </row>
    <row r="205" spans="1:4" x14ac:dyDescent="0.25">
      <c r="A205" s="2">
        <v>200</v>
      </c>
      <c r="B205" s="3">
        <v>0</v>
      </c>
    </row>
    <row r="206" spans="1:4" x14ac:dyDescent="0.25">
      <c r="A206" s="2" t="s">
        <v>3</v>
      </c>
      <c r="B206" s="3">
        <v>0.55180986559527978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76E2C-0069-4505-AC51-E7AFB338FA01}">
  <dimension ref="A2:E207"/>
  <sheetViews>
    <sheetView topLeftCell="A4" workbookViewId="0">
      <selection activeCell="Y20" sqref="Y20"/>
    </sheetView>
  </sheetViews>
  <sheetFormatPr defaultRowHeight="15" x14ac:dyDescent="0.25"/>
  <cols>
    <col min="1" max="1" width="15.85546875" bestFit="1" customWidth="1"/>
    <col min="2" max="2" width="17.85546875" bestFit="1" customWidth="1"/>
    <col min="3" max="7" width="12" bestFit="1" customWidth="1"/>
  </cols>
  <sheetData>
    <row r="2" spans="1:5" x14ac:dyDescent="0.25">
      <c r="A2" s="1" t="s">
        <v>1</v>
      </c>
      <c r="B2" t="s" vm="1">
        <v>6</v>
      </c>
    </row>
    <row r="4" spans="1:5" x14ac:dyDescent="0.25">
      <c r="A4" s="1" t="s">
        <v>5</v>
      </c>
      <c r="B4" s="1" t="s">
        <v>4</v>
      </c>
      <c r="E4" t="s">
        <v>27</v>
      </c>
    </row>
    <row r="5" spans="1:5" x14ac:dyDescent="0.25">
      <c r="A5" s="1" t="s">
        <v>2</v>
      </c>
      <c r="B5">
        <v>1</v>
      </c>
      <c r="C5">
        <v>2</v>
      </c>
      <c r="E5" t="s">
        <v>30</v>
      </c>
    </row>
    <row r="6" spans="1:5" x14ac:dyDescent="0.25">
      <c r="A6" s="2">
        <v>0</v>
      </c>
      <c r="B6" s="3">
        <v>5.4222161202771894E-4</v>
      </c>
      <c r="C6" s="3">
        <v>6.2378563193740385E-4</v>
      </c>
    </row>
    <row r="7" spans="1:5" x14ac:dyDescent="0.25">
      <c r="A7" s="2">
        <v>1</v>
      </c>
      <c r="B7" s="3">
        <v>1.7077078771912443E-3</v>
      </c>
      <c r="C7" s="3">
        <v>1.4057813626949945E-3</v>
      </c>
    </row>
    <row r="8" spans="1:5" x14ac:dyDescent="0.25">
      <c r="A8" s="2">
        <v>2</v>
      </c>
      <c r="B8" s="3">
        <v>2.3249433704723914E-3</v>
      </c>
      <c r="C8" s="3">
        <v>1.7067301935658179E-3</v>
      </c>
    </row>
    <row r="9" spans="1:5" x14ac:dyDescent="0.25">
      <c r="A9" s="2">
        <v>3</v>
      </c>
      <c r="B9" s="3">
        <v>2.8049441819114019E-3</v>
      </c>
      <c r="C9" s="3">
        <v>1.9237258435689513E-3</v>
      </c>
    </row>
    <row r="10" spans="1:5" x14ac:dyDescent="0.25">
      <c r="A10" s="2">
        <v>4</v>
      </c>
      <c r="B10" s="3">
        <v>2.6525923377566461E-3</v>
      </c>
      <c r="C10" s="3">
        <v>2.0157313191564693E-3</v>
      </c>
    </row>
    <row r="11" spans="1:5" x14ac:dyDescent="0.25">
      <c r="A11" s="2">
        <v>5</v>
      </c>
      <c r="B11" s="3">
        <v>2.461616130438991E-3</v>
      </c>
      <c r="C11" s="3">
        <v>1.9743402597262247E-3</v>
      </c>
    </row>
    <row r="12" spans="1:5" x14ac:dyDescent="0.25">
      <c r="A12" s="2">
        <v>6</v>
      </c>
      <c r="B12" s="3">
        <v>2.585136391478597E-3</v>
      </c>
      <c r="C12" s="3">
        <v>2.1104433678800637E-3</v>
      </c>
    </row>
    <row r="13" spans="1:5" x14ac:dyDescent="0.25">
      <c r="A13" s="2">
        <v>7</v>
      </c>
      <c r="B13" s="3">
        <v>2.3175515841655121E-3</v>
      </c>
      <c r="C13" s="3">
        <v>2.0913031442355255E-3</v>
      </c>
    </row>
    <row r="14" spans="1:5" x14ac:dyDescent="0.25">
      <c r="A14" s="2">
        <v>8</v>
      </c>
      <c r="B14" s="3">
        <v>2.3305441580713572E-3</v>
      </c>
      <c r="C14" s="3">
        <v>2.1938545411325206E-3</v>
      </c>
    </row>
    <row r="15" spans="1:5" x14ac:dyDescent="0.25">
      <c r="A15" s="2">
        <v>9</v>
      </c>
      <c r="B15" s="3">
        <v>2.2864959012102682E-3</v>
      </c>
      <c r="C15" s="3">
        <v>2.2498278477859849E-3</v>
      </c>
    </row>
    <row r="16" spans="1:5" x14ac:dyDescent="0.25">
      <c r="A16" s="2">
        <v>10</v>
      </c>
      <c r="B16" s="3">
        <v>2.2606483446719161E-3</v>
      </c>
      <c r="C16" s="3">
        <v>2.2490770046669716E-3</v>
      </c>
    </row>
    <row r="17" spans="1:3" x14ac:dyDescent="0.25">
      <c r="A17" s="2">
        <v>11</v>
      </c>
      <c r="B17" s="3">
        <v>2.345148284604354E-3</v>
      </c>
      <c r="C17" s="3">
        <v>2.3730824598479023E-3</v>
      </c>
    </row>
    <row r="18" spans="1:3" x14ac:dyDescent="0.25">
      <c r="A18" s="2">
        <v>12</v>
      </c>
      <c r="B18" s="3">
        <v>2.2859774927373325E-3</v>
      </c>
      <c r="C18" s="3">
        <v>2.410852925116991E-3</v>
      </c>
    </row>
    <row r="19" spans="1:3" x14ac:dyDescent="0.25">
      <c r="A19" s="2">
        <v>13</v>
      </c>
      <c r="B19" s="3">
        <v>2.3393267168300225E-3</v>
      </c>
      <c r="C19" s="3">
        <v>2.3305191308278937E-3</v>
      </c>
    </row>
    <row r="20" spans="1:3" x14ac:dyDescent="0.25">
      <c r="A20" s="2">
        <v>14</v>
      </c>
      <c r="B20" s="3">
        <v>2.4503139872678586E-3</v>
      </c>
      <c r="C20" s="3">
        <v>2.4708978835637466E-3</v>
      </c>
    </row>
    <row r="21" spans="1:3" x14ac:dyDescent="0.25">
      <c r="A21" s="2">
        <v>15</v>
      </c>
      <c r="B21" s="3">
        <v>2.4648309769665822E-3</v>
      </c>
      <c r="C21" s="3">
        <v>2.465843561607237E-3</v>
      </c>
    </row>
    <row r="22" spans="1:3" x14ac:dyDescent="0.25">
      <c r="A22" s="2">
        <v>16</v>
      </c>
      <c r="B22" s="3">
        <v>2.5257864898237483E-3</v>
      </c>
      <c r="C22" s="3">
        <v>2.3838478638342022E-3</v>
      </c>
    </row>
    <row r="23" spans="1:3" x14ac:dyDescent="0.25">
      <c r="A23" s="2">
        <v>17</v>
      </c>
      <c r="B23" s="3">
        <v>2.5153126679610823E-3</v>
      </c>
      <c r="C23" s="3">
        <v>2.5357928608831263E-3</v>
      </c>
    </row>
    <row r="24" spans="1:3" x14ac:dyDescent="0.25">
      <c r="A24" s="2">
        <v>18</v>
      </c>
      <c r="B24" s="3">
        <v>2.5875054209850896E-3</v>
      </c>
      <c r="C24" s="3">
        <v>2.6439194187242864E-3</v>
      </c>
    </row>
    <row r="25" spans="1:3" x14ac:dyDescent="0.25">
      <c r="A25" s="2">
        <v>19</v>
      </c>
      <c r="B25" s="3">
        <v>2.5243935464588818E-3</v>
      </c>
      <c r="C25" s="3">
        <v>2.5239715321835939E-3</v>
      </c>
    </row>
    <row r="26" spans="1:3" x14ac:dyDescent="0.25">
      <c r="A26" s="2">
        <v>20</v>
      </c>
      <c r="B26" s="3">
        <v>2.5086843002901896E-3</v>
      </c>
      <c r="C26" s="3">
        <v>2.8503128975325915E-3</v>
      </c>
    </row>
    <row r="27" spans="1:3" x14ac:dyDescent="0.25">
      <c r="A27" s="2">
        <v>21</v>
      </c>
      <c r="B27" s="3">
        <v>2.6907778544544687E-3</v>
      </c>
      <c r="C27" s="3">
        <v>2.6753027806789994E-3</v>
      </c>
    </row>
    <row r="28" spans="1:3" x14ac:dyDescent="0.25">
      <c r="A28" s="2">
        <v>22</v>
      </c>
      <c r="B28" s="3">
        <v>2.615772351278921E-3</v>
      </c>
      <c r="C28" s="3">
        <v>2.6999513974718501E-3</v>
      </c>
    </row>
    <row r="29" spans="1:3" x14ac:dyDescent="0.25">
      <c r="A29" s="2">
        <v>23</v>
      </c>
      <c r="B29" s="3">
        <v>2.6548935722555851E-3</v>
      </c>
      <c r="C29" s="3">
        <v>2.76551442143923E-3</v>
      </c>
    </row>
    <row r="30" spans="1:3" x14ac:dyDescent="0.25">
      <c r="A30" s="2">
        <v>24</v>
      </c>
      <c r="B30" s="3">
        <v>2.7002096611931483E-3</v>
      </c>
      <c r="C30" s="3">
        <v>2.8290181876934398E-3</v>
      </c>
    </row>
    <row r="31" spans="1:3" x14ac:dyDescent="0.25">
      <c r="A31" s="2">
        <v>25</v>
      </c>
      <c r="B31" s="3">
        <v>2.7612893787406687E-3</v>
      </c>
      <c r="C31" s="3">
        <v>2.8766172759905105E-3</v>
      </c>
    </row>
    <row r="32" spans="1:3" x14ac:dyDescent="0.25">
      <c r="A32" s="2">
        <v>26</v>
      </c>
      <c r="B32" s="3">
        <v>2.6342852124646311E-3</v>
      </c>
      <c r="C32" s="3">
        <v>3.0038887014472598E-3</v>
      </c>
    </row>
    <row r="33" spans="1:3" x14ac:dyDescent="0.25">
      <c r="A33" s="2">
        <v>27</v>
      </c>
      <c r="B33" s="3">
        <v>2.6793255985830032E-3</v>
      </c>
      <c r="C33" s="3">
        <v>3.1034089898376088E-3</v>
      </c>
    </row>
    <row r="34" spans="1:3" x14ac:dyDescent="0.25">
      <c r="A34" s="2">
        <v>28</v>
      </c>
      <c r="B34" s="3">
        <v>2.9064503445178835E-3</v>
      </c>
      <c r="C34" s="3">
        <v>3.0187822509172221E-3</v>
      </c>
    </row>
    <row r="35" spans="1:3" x14ac:dyDescent="0.25">
      <c r="A35" s="2">
        <v>29</v>
      </c>
      <c r="B35" s="3">
        <v>2.7205340221175068E-3</v>
      </c>
      <c r="C35" s="3">
        <v>2.916385883687052E-3</v>
      </c>
    </row>
    <row r="36" spans="1:3" x14ac:dyDescent="0.25">
      <c r="A36" s="2">
        <v>30</v>
      </c>
      <c r="B36" s="3">
        <v>2.9103583928964043E-3</v>
      </c>
      <c r="C36" s="3">
        <v>3.1748740007263906E-3</v>
      </c>
    </row>
    <row r="37" spans="1:3" x14ac:dyDescent="0.25">
      <c r="A37" s="2">
        <v>31</v>
      </c>
      <c r="B37" s="3">
        <v>3.0028284178598673E-3</v>
      </c>
      <c r="C37" s="3">
        <v>2.9158798576789011E-3</v>
      </c>
    </row>
    <row r="38" spans="1:3" x14ac:dyDescent="0.25">
      <c r="A38" s="2">
        <v>32</v>
      </c>
      <c r="B38" s="3">
        <v>3.1021096446044536E-3</v>
      </c>
      <c r="C38" s="3">
        <v>3.2133242644024756E-3</v>
      </c>
    </row>
    <row r="39" spans="1:3" x14ac:dyDescent="0.25">
      <c r="A39" s="2">
        <v>33</v>
      </c>
      <c r="B39" s="3">
        <v>3.2202779085573042E-3</v>
      </c>
      <c r="C39" s="3">
        <v>3.2197403997441202E-3</v>
      </c>
    </row>
    <row r="40" spans="1:3" x14ac:dyDescent="0.25">
      <c r="A40" s="2">
        <v>34</v>
      </c>
      <c r="B40" s="3">
        <v>3.2498678639576572E-3</v>
      </c>
      <c r="C40" s="3">
        <v>3.2826499575686775E-3</v>
      </c>
    </row>
    <row r="41" spans="1:3" x14ac:dyDescent="0.25">
      <c r="A41" s="2">
        <v>35</v>
      </c>
      <c r="B41" s="3">
        <v>3.3347873966165431E-3</v>
      </c>
      <c r="C41" s="3">
        <v>3.1810341027265487E-3</v>
      </c>
    </row>
    <row r="42" spans="1:3" x14ac:dyDescent="0.25">
      <c r="A42" s="2">
        <v>36</v>
      </c>
      <c r="B42" s="3">
        <v>3.4076701656090185E-3</v>
      </c>
      <c r="C42" s="3">
        <v>3.2502939877018058E-3</v>
      </c>
    </row>
    <row r="43" spans="1:3" x14ac:dyDescent="0.25">
      <c r="A43" s="2">
        <v>37</v>
      </c>
      <c r="B43" s="3">
        <v>3.2928108839971383E-3</v>
      </c>
      <c r="C43" s="3">
        <v>3.1745584261121014E-3</v>
      </c>
    </row>
    <row r="44" spans="1:3" x14ac:dyDescent="0.25">
      <c r="A44" s="2">
        <v>38</v>
      </c>
      <c r="B44" s="3">
        <v>3.4233723973066078E-3</v>
      </c>
      <c r="C44" s="3">
        <v>3.3639905878435623E-3</v>
      </c>
    </row>
    <row r="45" spans="1:3" x14ac:dyDescent="0.25">
      <c r="A45" s="2">
        <v>39</v>
      </c>
      <c r="B45" s="3">
        <v>3.3823726248228166E-3</v>
      </c>
      <c r="C45" s="3">
        <v>3.2033245944173873E-3</v>
      </c>
    </row>
    <row r="46" spans="1:3" x14ac:dyDescent="0.25">
      <c r="A46" s="2">
        <v>40</v>
      </c>
      <c r="B46" s="3">
        <v>3.4347238516640572E-3</v>
      </c>
      <c r="C46" s="3">
        <v>3.2729057382976925E-3</v>
      </c>
    </row>
    <row r="47" spans="1:3" x14ac:dyDescent="0.25">
      <c r="A47" s="2">
        <v>41</v>
      </c>
      <c r="B47" s="3">
        <v>3.3728785792226032E-3</v>
      </c>
      <c r="C47" s="3">
        <v>3.0949975750723664E-3</v>
      </c>
    </row>
    <row r="48" spans="1:3" x14ac:dyDescent="0.25">
      <c r="A48" s="2">
        <v>42</v>
      </c>
      <c r="B48" s="3">
        <v>3.2538093128262062E-3</v>
      </c>
      <c r="C48" s="3">
        <v>3.1712444029957628E-3</v>
      </c>
    </row>
    <row r="49" spans="1:3" x14ac:dyDescent="0.25">
      <c r="A49" s="2">
        <v>43</v>
      </c>
      <c r="B49" s="3">
        <v>3.4513988184866826E-3</v>
      </c>
      <c r="C49" s="3">
        <v>3.1678971104687247E-3</v>
      </c>
    </row>
    <row r="50" spans="1:3" x14ac:dyDescent="0.25">
      <c r="A50" s="2">
        <v>44</v>
      </c>
      <c r="B50" s="3">
        <v>3.2591540686808008E-3</v>
      </c>
      <c r="C50" s="3">
        <v>2.8785526918920917E-3</v>
      </c>
    </row>
    <row r="51" spans="1:3" x14ac:dyDescent="0.25">
      <c r="A51" s="2">
        <v>45</v>
      </c>
      <c r="B51" s="3">
        <v>3.2246146397273676E-3</v>
      </c>
      <c r="C51" s="3">
        <v>2.9418079175862703E-3</v>
      </c>
    </row>
    <row r="52" spans="1:3" x14ac:dyDescent="0.25">
      <c r="A52" s="2">
        <v>46</v>
      </c>
      <c r="B52" s="3">
        <v>3.2240669100024647E-3</v>
      </c>
      <c r="C52" s="3">
        <v>3.1266936846527046E-3</v>
      </c>
    </row>
    <row r="53" spans="1:3" x14ac:dyDescent="0.25">
      <c r="A53" s="2">
        <v>47</v>
      </c>
      <c r="B53" s="3">
        <v>3.1889245943012771E-3</v>
      </c>
      <c r="C53" s="3">
        <v>2.9579598407058934E-3</v>
      </c>
    </row>
    <row r="54" spans="1:3" x14ac:dyDescent="0.25">
      <c r="A54" s="2">
        <v>48</v>
      </c>
      <c r="B54" s="3">
        <v>3.0160441654788366E-3</v>
      </c>
      <c r="C54" s="3">
        <v>3.1585241761021847E-3</v>
      </c>
    </row>
    <row r="55" spans="1:3" x14ac:dyDescent="0.25">
      <c r="A55" s="2">
        <v>49</v>
      </c>
      <c r="B55" s="3">
        <v>3.2887603131347403E-3</v>
      </c>
      <c r="C55" s="3">
        <v>2.9878654026142992E-3</v>
      </c>
    </row>
    <row r="56" spans="1:3" x14ac:dyDescent="0.25">
      <c r="A56" s="2">
        <v>50</v>
      </c>
      <c r="B56" s="3">
        <v>3.2257150352106635E-3</v>
      </c>
      <c r="C56" s="3">
        <v>3.1038872354504873E-3</v>
      </c>
    </row>
    <row r="57" spans="1:3" x14ac:dyDescent="0.25">
      <c r="A57" s="2">
        <v>51</v>
      </c>
      <c r="B57" s="3">
        <v>3.0221347066428442E-3</v>
      </c>
      <c r="C57" s="3">
        <v>2.9042870455048293E-3</v>
      </c>
    </row>
    <row r="58" spans="1:3" x14ac:dyDescent="0.25">
      <c r="A58" s="2">
        <v>52</v>
      </c>
      <c r="B58" s="3">
        <v>3.1953325116869714E-3</v>
      </c>
      <c r="C58" s="3">
        <v>2.9673495505308581E-3</v>
      </c>
    </row>
    <row r="59" spans="1:3" x14ac:dyDescent="0.25">
      <c r="A59" s="2">
        <v>53</v>
      </c>
      <c r="B59" s="3">
        <v>3.2104750230702002E-3</v>
      </c>
      <c r="C59" s="3">
        <v>3.2397300515165355E-3</v>
      </c>
    </row>
    <row r="60" spans="1:3" x14ac:dyDescent="0.25">
      <c r="A60" s="2">
        <v>54</v>
      </c>
      <c r="B60" s="3">
        <v>3.2325833179143266E-3</v>
      </c>
      <c r="C60" s="3">
        <v>3.0634899285473896E-3</v>
      </c>
    </row>
    <row r="61" spans="1:3" x14ac:dyDescent="0.25">
      <c r="A61" s="2">
        <v>55</v>
      </c>
      <c r="B61" s="3">
        <v>3.1310554659324556E-3</v>
      </c>
      <c r="C61" s="3">
        <v>3.2657411944279633E-3</v>
      </c>
    </row>
    <row r="62" spans="1:3" x14ac:dyDescent="0.25">
      <c r="A62" s="2">
        <v>56</v>
      </c>
      <c r="B62" s="3">
        <v>3.1548331879304573E-3</v>
      </c>
      <c r="C62" s="3">
        <v>2.9348393193685696E-3</v>
      </c>
    </row>
    <row r="63" spans="1:3" x14ac:dyDescent="0.25">
      <c r="A63" s="2">
        <v>57</v>
      </c>
      <c r="B63" s="3">
        <v>3.2853550404775929E-3</v>
      </c>
      <c r="C63" s="3">
        <v>3.0313681068872638E-3</v>
      </c>
    </row>
    <row r="64" spans="1:3" x14ac:dyDescent="0.25">
      <c r="A64" s="2">
        <v>58</v>
      </c>
      <c r="B64" s="3">
        <v>3.1906858251526068E-3</v>
      </c>
      <c r="C64" s="3">
        <v>3.2610373555725884E-3</v>
      </c>
    </row>
    <row r="65" spans="1:3" x14ac:dyDescent="0.25">
      <c r="A65" s="2">
        <v>59</v>
      </c>
      <c r="B65" s="3">
        <v>3.0576507742938589E-3</v>
      </c>
      <c r="C65" s="3">
        <v>3.0357675707907237E-3</v>
      </c>
    </row>
    <row r="66" spans="1:3" x14ac:dyDescent="0.25">
      <c r="A66" s="2">
        <v>60</v>
      </c>
      <c r="B66" s="3">
        <v>3.1294880134582017E-3</v>
      </c>
      <c r="C66" s="3">
        <v>3.1065790874640537E-3</v>
      </c>
    </row>
    <row r="67" spans="1:3" x14ac:dyDescent="0.25">
      <c r="A67" s="2">
        <v>61</v>
      </c>
      <c r="B67" s="3">
        <v>3.179772505954438E-3</v>
      </c>
      <c r="C67" s="3">
        <v>3.0490017079403344E-3</v>
      </c>
    </row>
    <row r="68" spans="1:3" x14ac:dyDescent="0.25">
      <c r="A68" s="2">
        <v>62</v>
      </c>
      <c r="B68" s="3">
        <v>3.0692662362718616E-3</v>
      </c>
      <c r="C68" s="3">
        <v>3.0946318538270729E-3</v>
      </c>
    </row>
    <row r="69" spans="1:3" x14ac:dyDescent="0.25">
      <c r="A69" s="2">
        <v>63</v>
      </c>
      <c r="B69" s="3">
        <v>3.0574185153059447E-3</v>
      </c>
      <c r="C69" s="3">
        <v>3.042316065611454E-3</v>
      </c>
    </row>
    <row r="70" spans="1:3" x14ac:dyDescent="0.25">
      <c r="A70" s="2">
        <v>64</v>
      </c>
      <c r="B70" s="3">
        <v>3.142205255121397E-3</v>
      </c>
      <c r="C70" s="3">
        <v>3.033899677608057E-3</v>
      </c>
    </row>
    <row r="71" spans="1:3" x14ac:dyDescent="0.25">
      <c r="A71" s="2">
        <v>65</v>
      </c>
      <c r="B71" s="3">
        <v>3.0427696755175758E-3</v>
      </c>
      <c r="C71" s="3">
        <v>2.9904190170540268E-3</v>
      </c>
    </row>
    <row r="72" spans="1:3" x14ac:dyDescent="0.25">
      <c r="A72" s="2">
        <v>66</v>
      </c>
      <c r="B72" s="3">
        <v>3.0802852723120894E-3</v>
      </c>
      <c r="C72" s="3">
        <v>2.9553239488637846E-3</v>
      </c>
    </row>
    <row r="73" spans="1:3" x14ac:dyDescent="0.25">
      <c r="A73" s="2">
        <v>67</v>
      </c>
      <c r="B73" s="3">
        <v>2.9917824461353285E-3</v>
      </c>
      <c r="C73" s="3">
        <v>3.0368487660681139E-3</v>
      </c>
    </row>
    <row r="74" spans="1:3" x14ac:dyDescent="0.25">
      <c r="A74" s="2">
        <v>68</v>
      </c>
      <c r="B74" s="3">
        <v>3.1112029750035835E-3</v>
      </c>
      <c r="C74" s="3">
        <v>3.1825657247508809E-3</v>
      </c>
    </row>
    <row r="75" spans="1:3" x14ac:dyDescent="0.25">
      <c r="A75" s="2">
        <v>69</v>
      </c>
      <c r="B75" s="3">
        <v>3.0263632165210318E-3</v>
      </c>
      <c r="C75" s="3">
        <v>3.1224263090747746E-3</v>
      </c>
    </row>
    <row r="76" spans="1:3" x14ac:dyDescent="0.25">
      <c r="A76" s="2">
        <v>70</v>
      </c>
      <c r="B76" s="3">
        <v>3.0473470685925888E-3</v>
      </c>
      <c r="C76" s="3">
        <v>3.0996365837997553E-3</v>
      </c>
    </row>
    <row r="77" spans="1:3" x14ac:dyDescent="0.25">
      <c r="A77" s="2">
        <v>71</v>
      </c>
      <c r="B77" s="3">
        <v>3.0850310869350315E-3</v>
      </c>
      <c r="C77" s="3">
        <v>3.1959584714760661E-3</v>
      </c>
    </row>
    <row r="78" spans="1:3" x14ac:dyDescent="0.25">
      <c r="A78" s="2">
        <v>72</v>
      </c>
      <c r="B78" s="3">
        <v>3.1697241732543623E-3</v>
      </c>
      <c r="C78" s="3">
        <v>3.2473887973846149E-3</v>
      </c>
    </row>
    <row r="79" spans="1:3" x14ac:dyDescent="0.25">
      <c r="A79" s="2">
        <v>73</v>
      </c>
      <c r="B79" s="3">
        <v>3.1467182081605189E-3</v>
      </c>
      <c r="C79" s="3">
        <v>3.2838299008847525E-3</v>
      </c>
    </row>
    <row r="80" spans="1:3" x14ac:dyDescent="0.25">
      <c r="A80" s="2">
        <v>74</v>
      </c>
      <c r="B80" s="3">
        <v>3.204937753785872E-3</v>
      </c>
      <c r="C80" s="3">
        <v>3.0618226647723063E-3</v>
      </c>
    </row>
    <row r="81" spans="1:3" x14ac:dyDescent="0.25">
      <c r="A81" s="2">
        <v>75</v>
      </c>
      <c r="B81" s="3">
        <v>3.1628264591126629E-3</v>
      </c>
      <c r="C81" s="3">
        <v>3.3273730272586855E-3</v>
      </c>
    </row>
    <row r="82" spans="1:3" x14ac:dyDescent="0.25">
      <c r="A82" s="2">
        <v>76</v>
      </c>
      <c r="B82" s="3">
        <v>3.1277518987287271E-3</v>
      </c>
      <c r="C82" s="3">
        <v>3.2983344811941492E-3</v>
      </c>
    </row>
    <row r="83" spans="1:3" x14ac:dyDescent="0.25">
      <c r="A83" s="2">
        <v>77</v>
      </c>
      <c r="B83" s="3">
        <v>3.1856036382760778E-3</v>
      </c>
      <c r="C83" s="3">
        <v>3.3928905197195447E-3</v>
      </c>
    </row>
    <row r="84" spans="1:3" x14ac:dyDescent="0.25">
      <c r="A84" s="2">
        <v>78</v>
      </c>
      <c r="B84" s="3">
        <v>3.298557628197675E-3</v>
      </c>
      <c r="C84" s="3">
        <v>3.5139402497796563E-3</v>
      </c>
    </row>
    <row r="85" spans="1:3" x14ac:dyDescent="0.25">
      <c r="A85" s="2">
        <v>79</v>
      </c>
      <c r="B85" s="3">
        <v>3.2124449069876643E-3</v>
      </c>
      <c r="C85" s="3">
        <v>3.5620845992438647E-3</v>
      </c>
    </row>
    <row r="86" spans="1:3" x14ac:dyDescent="0.25">
      <c r="A86" s="2">
        <v>80</v>
      </c>
      <c r="B86" s="3">
        <v>3.2227362083624743E-3</v>
      </c>
      <c r="C86" s="3">
        <v>3.4740525309206326E-3</v>
      </c>
    </row>
    <row r="87" spans="1:3" x14ac:dyDescent="0.25">
      <c r="A87" s="2">
        <v>81</v>
      </c>
      <c r="B87" s="3">
        <v>3.3226638297181796E-3</v>
      </c>
      <c r="C87" s="3">
        <v>3.6237073967286112E-3</v>
      </c>
    </row>
    <row r="88" spans="1:3" x14ac:dyDescent="0.25">
      <c r="A88" s="2">
        <v>82</v>
      </c>
      <c r="B88" s="3">
        <v>3.3625679744749867E-3</v>
      </c>
      <c r="C88" s="3">
        <v>3.7810975476477949E-3</v>
      </c>
    </row>
    <row r="89" spans="1:3" x14ac:dyDescent="0.25">
      <c r="A89" s="2">
        <v>83</v>
      </c>
      <c r="B89" s="3">
        <v>3.5313727818466643E-3</v>
      </c>
      <c r="C89" s="3">
        <v>3.5378976528586546E-3</v>
      </c>
    </row>
    <row r="90" spans="1:3" x14ac:dyDescent="0.25">
      <c r="A90" s="2">
        <v>84</v>
      </c>
      <c r="B90" s="3">
        <v>3.3495763851762133E-3</v>
      </c>
      <c r="C90" s="3">
        <v>3.5442288294530232E-3</v>
      </c>
    </row>
    <row r="91" spans="1:3" x14ac:dyDescent="0.25">
      <c r="A91" s="2">
        <v>85</v>
      </c>
      <c r="B91" s="3">
        <v>3.7727681412977961E-3</v>
      </c>
      <c r="C91" s="3">
        <v>3.2876621097114229E-3</v>
      </c>
    </row>
    <row r="92" spans="1:3" x14ac:dyDescent="0.25">
      <c r="A92" s="2">
        <v>86</v>
      </c>
      <c r="B92" s="3">
        <v>3.5323805950662314E-3</v>
      </c>
      <c r="C92" s="3">
        <v>3.4095290809932144E-3</v>
      </c>
    </row>
    <row r="93" spans="1:3" x14ac:dyDescent="0.25">
      <c r="A93" s="2">
        <v>87</v>
      </c>
      <c r="B93" s="3">
        <v>3.7741191817434838E-3</v>
      </c>
      <c r="C93" s="3">
        <v>3.7707770371602943E-3</v>
      </c>
    </row>
    <row r="94" spans="1:3" x14ac:dyDescent="0.25">
      <c r="A94" s="2">
        <v>88</v>
      </c>
      <c r="B94" s="3">
        <v>3.6204958473378644E-3</v>
      </c>
      <c r="C94" s="3">
        <v>3.7035314671149447E-3</v>
      </c>
    </row>
    <row r="95" spans="1:3" x14ac:dyDescent="0.25">
      <c r="A95" s="2">
        <v>89</v>
      </c>
      <c r="B95" s="3">
        <v>3.4674609797609494E-3</v>
      </c>
      <c r="C95" s="3">
        <v>3.4708477466317477E-3</v>
      </c>
    </row>
    <row r="96" spans="1:3" x14ac:dyDescent="0.25">
      <c r="A96" s="2">
        <v>90</v>
      </c>
      <c r="B96" s="3">
        <v>3.689160282346381E-3</v>
      </c>
      <c r="C96" s="3">
        <v>3.6467539265902867E-3</v>
      </c>
    </row>
    <row r="97" spans="1:3" x14ac:dyDescent="0.25">
      <c r="A97" s="2">
        <v>91</v>
      </c>
      <c r="B97" s="3">
        <v>3.587200922643152E-3</v>
      </c>
      <c r="C97" s="3">
        <v>3.7976402150842162E-3</v>
      </c>
    </row>
    <row r="98" spans="1:3" x14ac:dyDescent="0.25">
      <c r="A98" s="2">
        <v>92</v>
      </c>
      <c r="B98" s="3">
        <v>3.6956661131832555E-3</v>
      </c>
      <c r="C98" s="3">
        <v>3.7317531387105665E-3</v>
      </c>
    </row>
    <row r="99" spans="1:3" x14ac:dyDescent="0.25">
      <c r="A99" s="2">
        <v>93</v>
      </c>
      <c r="B99" s="3">
        <v>3.8231743313504101E-3</v>
      </c>
      <c r="C99" s="3">
        <v>3.6001504122769525E-3</v>
      </c>
    </row>
    <row r="100" spans="1:3" x14ac:dyDescent="0.25">
      <c r="A100" s="2">
        <v>94</v>
      </c>
      <c r="B100" s="3">
        <v>3.8662514270839986E-3</v>
      </c>
      <c r="C100" s="3">
        <v>3.6032085350412332E-3</v>
      </c>
    </row>
    <row r="101" spans="1:3" x14ac:dyDescent="0.25">
      <c r="A101" s="2">
        <v>95</v>
      </c>
      <c r="B101" s="3">
        <v>3.8291950280769449E-3</v>
      </c>
      <c r="C101" s="3">
        <v>3.6796367097857432E-3</v>
      </c>
    </row>
    <row r="102" spans="1:3" x14ac:dyDescent="0.25">
      <c r="A102" s="2">
        <v>96</v>
      </c>
      <c r="B102" s="3">
        <v>3.7142204625525738E-3</v>
      </c>
      <c r="C102" s="3">
        <v>3.79071043379293E-3</v>
      </c>
    </row>
    <row r="103" spans="1:3" x14ac:dyDescent="0.25">
      <c r="A103" s="2">
        <v>97</v>
      </c>
      <c r="B103" s="3">
        <v>3.673487990614341E-3</v>
      </c>
      <c r="C103" s="3">
        <v>3.7017607185826007E-3</v>
      </c>
    </row>
    <row r="104" spans="1:3" x14ac:dyDescent="0.25">
      <c r="A104" s="2">
        <v>98</v>
      </c>
      <c r="B104" s="3">
        <v>3.6181444258954493E-3</v>
      </c>
      <c r="C104" s="3">
        <v>3.6136860442238187E-3</v>
      </c>
    </row>
    <row r="105" spans="1:3" x14ac:dyDescent="0.25">
      <c r="A105" s="2">
        <v>99</v>
      </c>
      <c r="B105" s="3">
        <v>4.1368579558741037E-3</v>
      </c>
      <c r="C105" s="3">
        <v>3.5016880641602997E-3</v>
      </c>
    </row>
    <row r="106" spans="1:3" x14ac:dyDescent="0.25">
      <c r="A106" s="2">
        <v>100</v>
      </c>
      <c r="B106" s="3">
        <v>4.0043959507671083E-3</v>
      </c>
      <c r="C106" s="3">
        <v>3.5911588119740927E-3</v>
      </c>
    </row>
    <row r="107" spans="1:3" x14ac:dyDescent="0.25">
      <c r="A107" s="2">
        <v>101</v>
      </c>
      <c r="B107" s="3">
        <v>3.683799783555348E-3</v>
      </c>
      <c r="C107" s="3">
        <v>3.2771585254705985E-3</v>
      </c>
    </row>
    <row r="108" spans="1:3" x14ac:dyDescent="0.25">
      <c r="A108" s="2">
        <v>102</v>
      </c>
      <c r="B108" s="3">
        <v>3.654259054360981E-3</v>
      </c>
      <c r="C108" s="3">
        <v>3.2148155835015004E-3</v>
      </c>
    </row>
    <row r="109" spans="1:3" x14ac:dyDescent="0.25">
      <c r="A109" s="2">
        <v>103</v>
      </c>
      <c r="B109" s="3">
        <v>3.4785698423955404E-3</v>
      </c>
      <c r="C109" s="3">
        <v>3.3238526507725903E-3</v>
      </c>
    </row>
    <row r="110" spans="1:3" x14ac:dyDescent="0.25">
      <c r="A110" s="2">
        <v>104</v>
      </c>
      <c r="B110" s="3">
        <v>3.4667052265727498E-3</v>
      </c>
      <c r="C110" s="3">
        <v>3.2695164674932621E-3</v>
      </c>
    </row>
    <row r="111" spans="1:3" x14ac:dyDescent="0.25">
      <c r="A111" s="2">
        <v>105</v>
      </c>
      <c r="B111" s="3">
        <v>3.3199897908636664E-3</v>
      </c>
      <c r="C111" s="3">
        <v>3.1614771906492939E-3</v>
      </c>
    </row>
    <row r="112" spans="1:3" x14ac:dyDescent="0.25">
      <c r="A112" s="2">
        <v>106</v>
      </c>
      <c r="B112" s="3">
        <v>3.3190368189894535E-3</v>
      </c>
      <c r="C112" s="3">
        <v>3.2607650877442863E-3</v>
      </c>
    </row>
    <row r="113" spans="1:3" x14ac:dyDescent="0.25">
      <c r="A113" s="2">
        <v>107</v>
      </c>
      <c r="B113" s="3">
        <v>3.6328617951623971E-3</v>
      </c>
      <c r="C113" s="3">
        <v>3.1341043840250101E-3</v>
      </c>
    </row>
    <row r="114" spans="1:3" x14ac:dyDescent="0.25">
      <c r="A114" s="2">
        <v>108</v>
      </c>
      <c r="B114" s="3">
        <v>3.3028221087457949E-3</v>
      </c>
      <c r="C114" s="3">
        <v>3.2949286550140681E-3</v>
      </c>
    </row>
    <row r="115" spans="1:3" x14ac:dyDescent="0.25">
      <c r="A115" s="2">
        <v>109</v>
      </c>
      <c r="B115" s="3">
        <v>3.3462613730275265E-3</v>
      </c>
      <c r="C115" s="3">
        <v>3.2801060277807678E-3</v>
      </c>
    </row>
    <row r="116" spans="1:3" x14ac:dyDescent="0.25">
      <c r="A116" s="2">
        <v>110</v>
      </c>
      <c r="B116" s="3">
        <v>3.1602150214703091E-3</v>
      </c>
      <c r="C116" s="3">
        <v>3.2163867662594993E-3</v>
      </c>
    </row>
    <row r="117" spans="1:3" x14ac:dyDescent="0.25">
      <c r="A117" s="2">
        <v>111</v>
      </c>
      <c r="B117" s="3">
        <v>3.2575714487270663E-3</v>
      </c>
      <c r="C117" s="3">
        <v>3.3410311923735714E-3</v>
      </c>
    </row>
    <row r="118" spans="1:3" x14ac:dyDescent="0.25">
      <c r="A118" s="2">
        <v>112</v>
      </c>
      <c r="B118" s="3">
        <v>3.3290341349909423E-3</v>
      </c>
      <c r="C118" s="3">
        <v>3.1060838275731905E-3</v>
      </c>
    </row>
    <row r="119" spans="1:3" x14ac:dyDescent="0.25">
      <c r="A119" s="2">
        <v>113</v>
      </c>
      <c r="B119" s="3">
        <v>3.4166552043481315E-3</v>
      </c>
      <c r="C119" s="3">
        <v>3.1517515154133686E-3</v>
      </c>
    </row>
    <row r="120" spans="1:3" x14ac:dyDescent="0.25">
      <c r="A120" s="2">
        <v>114</v>
      </c>
      <c r="B120" s="3">
        <v>3.2838861687695983E-3</v>
      </c>
      <c r="C120" s="3">
        <v>2.8926345808746377E-3</v>
      </c>
    </row>
    <row r="121" spans="1:3" x14ac:dyDescent="0.25">
      <c r="A121" s="2">
        <v>115</v>
      </c>
      <c r="B121" s="3">
        <v>3.2157239380233623E-3</v>
      </c>
      <c r="C121" s="3">
        <v>3.1699735230235641E-3</v>
      </c>
    </row>
    <row r="122" spans="1:3" x14ac:dyDescent="0.25">
      <c r="A122" s="2">
        <v>116</v>
      </c>
      <c r="B122" s="3">
        <v>3.1677355326320536E-3</v>
      </c>
      <c r="C122" s="3">
        <v>3.3112172497183666E-3</v>
      </c>
    </row>
    <row r="123" spans="1:3" x14ac:dyDescent="0.25">
      <c r="A123" s="2">
        <v>117</v>
      </c>
      <c r="B123" s="3">
        <v>3.1232878175519894E-3</v>
      </c>
      <c r="C123" s="3">
        <v>3.2161764140258833E-3</v>
      </c>
    </row>
    <row r="124" spans="1:3" x14ac:dyDescent="0.25">
      <c r="A124" s="2">
        <v>118</v>
      </c>
      <c r="B124" s="3">
        <v>3.2694343081641312E-3</v>
      </c>
      <c r="C124" s="3">
        <v>3.126632579497511E-3</v>
      </c>
    </row>
    <row r="125" spans="1:3" x14ac:dyDescent="0.25">
      <c r="A125" s="2">
        <v>119</v>
      </c>
      <c r="B125" s="3">
        <v>3.1770572457108684E-3</v>
      </c>
      <c r="C125" s="3">
        <v>3.3070868113139755E-3</v>
      </c>
    </row>
    <row r="126" spans="1:3" x14ac:dyDescent="0.25">
      <c r="A126" s="2">
        <v>120</v>
      </c>
      <c r="B126" s="3">
        <v>3.2538811792272686E-3</v>
      </c>
      <c r="C126" s="3">
        <v>3.3525732714091822E-3</v>
      </c>
    </row>
    <row r="127" spans="1:3" x14ac:dyDescent="0.25">
      <c r="A127" s="2">
        <v>121</v>
      </c>
      <c r="B127" s="3">
        <v>3.1659604343363883E-3</v>
      </c>
      <c r="C127" s="3">
        <v>2.9662635065872789E-3</v>
      </c>
    </row>
    <row r="128" spans="1:3" x14ac:dyDescent="0.25">
      <c r="A128" s="2">
        <v>122</v>
      </c>
      <c r="B128" s="3">
        <v>3.0974037316209933E-3</v>
      </c>
      <c r="C128" s="3">
        <v>3.021298647294958E-3</v>
      </c>
    </row>
    <row r="129" spans="1:3" x14ac:dyDescent="0.25">
      <c r="A129" s="2">
        <v>123</v>
      </c>
      <c r="B129" s="3">
        <v>3.2447362383644265E-3</v>
      </c>
      <c r="C129" s="3">
        <v>3.4398920416205373E-3</v>
      </c>
    </row>
    <row r="130" spans="1:3" x14ac:dyDescent="0.25">
      <c r="A130" s="2">
        <v>124</v>
      </c>
      <c r="B130" s="3">
        <v>3.2466687092321837E-3</v>
      </c>
      <c r="C130" s="3">
        <v>3.5659718646582897E-3</v>
      </c>
    </row>
    <row r="131" spans="1:3" x14ac:dyDescent="0.25">
      <c r="A131" s="2">
        <v>125</v>
      </c>
      <c r="B131" s="3">
        <v>3.1392809292487894E-3</v>
      </c>
      <c r="C131" s="3">
        <v>3.0546714726856806E-3</v>
      </c>
    </row>
    <row r="132" spans="1:3" x14ac:dyDescent="0.25">
      <c r="A132" s="2">
        <v>126</v>
      </c>
      <c r="B132" s="3">
        <v>3.1638004833157429E-3</v>
      </c>
      <c r="C132" s="3">
        <v>3.4981299449421323E-3</v>
      </c>
    </row>
    <row r="133" spans="1:3" x14ac:dyDescent="0.25">
      <c r="A133" s="2">
        <v>127</v>
      </c>
      <c r="B133" s="3">
        <v>3.3550783199492598E-3</v>
      </c>
      <c r="C133" s="3">
        <v>3.3310941303356109E-3</v>
      </c>
    </row>
    <row r="134" spans="1:3" x14ac:dyDescent="0.25">
      <c r="A134" s="2">
        <v>128</v>
      </c>
      <c r="B134" s="3">
        <v>3.2290808543794193E-3</v>
      </c>
      <c r="C134" s="3">
        <v>3.3887611034208757E-3</v>
      </c>
    </row>
    <row r="135" spans="1:3" x14ac:dyDescent="0.25">
      <c r="A135" s="2">
        <v>129</v>
      </c>
      <c r="B135" s="3">
        <v>3.3171390421706556E-3</v>
      </c>
      <c r="C135" s="3">
        <v>3.259150613129817E-3</v>
      </c>
    </row>
    <row r="136" spans="1:3" x14ac:dyDescent="0.25">
      <c r="A136" s="2">
        <v>130</v>
      </c>
      <c r="B136" s="3">
        <v>3.2312134236612681E-3</v>
      </c>
      <c r="C136" s="3">
        <v>3.2412864023328093E-3</v>
      </c>
    </row>
    <row r="137" spans="1:3" x14ac:dyDescent="0.25">
      <c r="A137" s="2">
        <v>131</v>
      </c>
      <c r="B137" s="3">
        <v>3.1893028115198173E-3</v>
      </c>
      <c r="C137" s="3">
        <v>3.4601073624709725E-3</v>
      </c>
    </row>
    <row r="138" spans="1:3" x14ac:dyDescent="0.25">
      <c r="A138" s="2">
        <v>132</v>
      </c>
      <c r="B138" s="3">
        <v>3.3596876491445082E-3</v>
      </c>
      <c r="C138" s="3">
        <v>3.4537610724992185E-3</v>
      </c>
    </row>
    <row r="139" spans="1:3" x14ac:dyDescent="0.25">
      <c r="A139" s="2">
        <v>133</v>
      </c>
      <c r="B139" s="3">
        <v>3.3277865382869568E-3</v>
      </c>
      <c r="C139" s="3">
        <v>3.4162571656343472E-3</v>
      </c>
    </row>
    <row r="140" spans="1:3" x14ac:dyDescent="0.25">
      <c r="A140" s="2">
        <v>134</v>
      </c>
      <c r="B140" s="3">
        <v>3.386531157803835E-3</v>
      </c>
      <c r="C140" s="3">
        <v>3.6289475660033657E-3</v>
      </c>
    </row>
    <row r="141" spans="1:3" x14ac:dyDescent="0.25">
      <c r="A141" s="2">
        <v>135</v>
      </c>
      <c r="B141" s="3">
        <v>3.5163268513456361E-3</v>
      </c>
      <c r="C141" s="3">
        <v>3.4299518892000258E-3</v>
      </c>
    </row>
    <row r="142" spans="1:3" x14ac:dyDescent="0.25">
      <c r="A142" s="2">
        <v>136</v>
      </c>
      <c r="B142" s="3">
        <v>3.3355492711801414E-3</v>
      </c>
      <c r="C142" s="3">
        <v>3.4405822706378678E-3</v>
      </c>
    </row>
    <row r="143" spans="1:3" x14ac:dyDescent="0.25">
      <c r="A143" s="2">
        <v>137</v>
      </c>
      <c r="B143" s="3">
        <v>3.5075371675128628E-3</v>
      </c>
      <c r="C143" s="3">
        <v>3.7639548268749738E-3</v>
      </c>
    </row>
    <row r="144" spans="1:3" x14ac:dyDescent="0.25">
      <c r="A144" s="2">
        <v>138</v>
      </c>
      <c r="B144" s="3">
        <v>3.5376277786872321E-3</v>
      </c>
      <c r="C144" s="3">
        <v>3.6331640031631047E-3</v>
      </c>
    </row>
    <row r="145" spans="1:3" x14ac:dyDescent="0.25">
      <c r="A145" s="2">
        <v>139</v>
      </c>
      <c r="B145" s="3">
        <v>3.3784673836264509E-3</v>
      </c>
      <c r="C145" s="3">
        <v>3.592095644294125E-3</v>
      </c>
    </row>
    <row r="146" spans="1:3" x14ac:dyDescent="0.25">
      <c r="A146" s="2">
        <v>140</v>
      </c>
      <c r="B146" s="3">
        <v>3.8452664907053661E-3</v>
      </c>
      <c r="C146" s="3">
        <v>3.6666606826204441E-3</v>
      </c>
    </row>
    <row r="147" spans="1:3" x14ac:dyDescent="0.25">
      <c r="A147" s="2">
        <v>141</v>
      </c>
      <c r="B147" s="3">
        <v>3.570376698457146E-3</v>
      </c>
      <c r="C147" s="3">
        <v>3.7851267798188824E-3</v>
      </c>
    </row>
    <row r="148" spans="1:3" x14ac:dyDescent="0.25">
      <c r="A148" s="2">
        <v>142</v>
      </c>
      <c r="B148" s="3">
        <v>3.7482436122884284E-3</v>
      </c>
      <c r="C148" s="3">
        <v>3.7902674509655114E-3</v>
      </c>
    </row>
    <row r="149" spans="1:3" x14ac:dyDescent="0.25">
      <c r="A149" s="2">
        <v>143</v>
      </c>
      <c r="B149" s="3">
        <v>3.4967011733267822E-3</v>
      </c>
      <c r="C149" s="3">
        <v>3.665364031184417E-3</v>
      </c>
    </row>
    <row r="150" spans="1:3" x14ac:dyDescent="0.25">
      <c r="A150" s="2">
        <v>144</v>
      </c>
      <c r="B150" s="3">
        <v>3.7380000701117142E-3</v>
      </c>
      <c r="C150" s="3">
        <v>3.4948261710288833E-3</v>
      </c>
    </row>
    <row r="151" spans="1:3" x14ac:dyDescent="0.25">
      <c r="A151" s="2">
        <v>145</v>
      </c>
      <c r="B151" s="3">
        <v>3.6993737980440034E-3</v>
      </c>
      <c r="C151" s="3">
        <v>3.50754832076403E-3</v>
      </c>
    </row>
    <row r="152" spans="1:3" x14ac:dyDescent="0.25">
      <c r="A152" s="2">
        <v>146</v>
      </c>
      <c r="B152" s="3">
        <v>4.1110524298452996E-3</v>
      </c>
      <c r="C152" s="3">
        <v>3.7078539013078592E-3</v>
      </c>
    </row>
    <row r="153" spans="1:3" x14ac:dyDescent="0.25">
      <c r="A153" s="2">
        <v>147</v>
      </c>
      <c r="B153" s="3">
        <v>3.7515754124643049E-3</v>
      </c>
      <c r="C153" s="3">
        <v>3.4161880448627521E-3</v>
      </c>
    </row>
    <row r="154" spans="1:3" x14ac:dyDescent="0.25">
      <c r="A154" s="2">
        <v>148</v>
      </c>
      <c r="B154" s="3">
        <v>3.6757688286058179E-3</v>
      </c>
      <c r="C154" s="3">
        <v>3.3913697098138179E-3</v>
      </c>
    </row>
    <row r="155" spans="1:3" x14ac:dyDescent="0.25">
      <c r="A155" s="2">
        <v>149</v>
      </c>
      <c r="B155" s="3">
        <v>3.5511172105788602E-3</v>
      </c>
      <c r="C155" s="3">
        <v>3.3051116403329424E-3</v>
      </c>
    </row>
    <row r="156" spans="1:3" x14ac:dyDescent="0.25">
      <c r="A156" s="2">
        <v>150</v>
      </c>
      <c r="B156" s="3">
        <v>3.6468850672222697E-3</v>
      </c>
      <c r="C156" s="3">
        <v>3.4731766455353692E-3</v>
      </c>
    </row>
    <row r="157" spans="1:3" x14ac:dyDescent="0.25">
      <c r="A157" s="2">
        <v>151</v>
      </c>
      <c r="B157" s="3">
        <v>3.4965900225052836E-3</v>
      </c>
      <c r="C157" s="3">
        <v>3.2050767272700374E-3</v>
      </c>
    </row>
    <row r="158" spans="1:3" x14ac:dyDescent="0.25">
      <c r="A158" s="2">
        <v>152</v>
      </c>
      <c r="B158" s="3">
        <v>3.6306704740571511E-3</v>
      </c>
      <c r="C158" s="3">
        <v>3.3295335120678217E-3</v>
      </c>
    </row>
    <row r="159" spans="1:3" x14ac:dyDescent="0.25">
      <c r="A159" s="2">
        <v>153</v>
      </c>
      <c r="B159" s="3">
        <v>3.5834927163542083E-3</v>
      </c>
      <c r="C159" s="3">
        <v>3.188836632086087E-3</v>
      </c>
    </row>
    <row r="160" spans="1:3" x14ac:dyDescent="0.25">
      <c r="A160" s="2">
        <v>154</v>
      </c>
      <c r="B160" s="3">
        <v>3.6989209586230322E-3</v>
      </c>
      <c r="C160" s="3">
        <v>3.3097903524493197E-3</v>
      </c>
    </row>
    <row r="161" spans="1:3" x14ac:dyDescent="0.25">
      <c r="A161" s="2">
        <v>155</v>
      </c>
      <c r="B161" s="3">
        <v>3.2780192426540753E-3</v>
      </c>
      <c r="C161" s="3">
        <v>3.3031131095729105E-3</v>
      </c>
    </row>
    <row r="162" spans="1:3" x14ac:dyDescent="0.25">
      <c r="A162" s="2">
        <v>156</v>
      </c>
      <c r="B162" s="3">
        <v>3.3642382107347711E-3</v>
      </c>
      <c r="C162" s="3">
        <v>3.0870145331048336E-3</v>
      </c>
    </row>
    <row r="163" spans="1:3" x14ac:dyDescent="0.25">
      <c r="A163" s="2">
        <v>157</v>
      </c>
      <c r="B163" s="3">
        <v>3.1149503160117957E-3</v>
      </c>
      <c r="C163" s="3">
        <v>3.2304813072775939E-3</v>
      </c>
    </row>
    <row r="164" spans="1:3" x14ac:dyDescent="0.25">
      <c r="A164" s="2">
        <v>158</v>
      </c>
      <c r="B164" s="3">
        <v>3.4322347966169709E-3</v>
      </c>
      <c r="C164" s="3">
        <v>3.0763545196690677E-3</v>
      </c>
    </row>
    <row r="165" spans="1:3" x14ac:dyDescent="0.25">
      <c r="A165" s="2">
        <v>159</v>
      </c>
      <c r="B165" s="3">
        <v>3.1250016783646419E-3</v>
      </c>
      <c r="C165" s="3">
        <v>3.0613804984549668E-3</v>
      </c>
    </row>
    <row r="166" spans="1:3" x14ac:dyDescent="0.25">
      <c r="A166" s="2">
        <v>160</v>
      </c>
      <c r="B166" s="3">
        <v>3.2035370756636847E-3</v>
      </c>
      <c r="C166" s="3">
        <v>3.0203037064971015E-3</v>
      </c>
    </row>
    <row r="167" spans="1:3" x14ac:dyDescent="0.25">
      <c r="A167" s="2">
        <v>161</v>
      </c>
      <c r="B167" s="3">
        <v>3.0582136596971803E-3</v>
      </c>
      <c r="C167" s="3">
        <v>2.7164026769507851E-3</v>
      </c>
    </row>
    <row r="168" spans="1:3" x14ac:dyDescent="0.25">
      <c r="A168" s="2">
        <v>162</v>
      </c>
      <c r="B168" s="3">
        <v>2.9912344022838171E-3</v>
      </c>
      <c r="C168" s="3">
        <v>3.0343663368606129E-3</v>
      </c>
    </row>
    <row r="169" spans="1:3" x14ac:dyDescent="0.25">
      <c r="A169" s="2">
        <v>163</v>
      </c>
      <c r="B169" s="3">
        <v>3.0605348323374791E-3</v>
      </c>
      <c r="C169" s="3">
        <v>3.0370839775248717E-3</v>
      </c>
    </row>
    <row r="170" spans="1:3" x14ac:dyDescent="0.25">
      <c r="A170" s="2">
        <v>164</v>
      </c>
      <c r="B170" s="3">
        <v>2.963571368009039E-3</v>
      </c>
      <c r="C170" s="3">
        <v>2.6997065930564005E-3</v>
      </c>
    </row>
    <row r="171" spans="1:3" x14ac:dyDescent="0.25">
      <c r="A171" s="2">
        <v>165</v>
      </c>
      <c r="B171" s="3">
        <v>3.0018020816822638E-3</v>
      </c>
      <c r="C171" s="3">
        <v>2.8498436744424571E-3</v>
      </c>
    </row>
    <row r="172" spans="1:3" x14ac:dyDescent="0.25">
      <c r="A172" s="2">
        <v>166</v>
      </c>
      <c r="B172" s="3">
        <v>3.118215572356013E-3</v>
      </c>
      <c r="C172" s="3">
        <v>2.6303298307426629E-3</v>
      </c>
    </row>
    <row r="173" spans="1:3" x14ac:dyDescent="0.25">
      <c r="A173" s="2">
        <v>167</v>
      </c>
      <c r="B173" s="3">
        <v>2.9499707247673634E-3</v>
      </c>
      <c r="C173" s="3">
        <v>2.4188899447168959E-3</v>
      </c>
    </row>
    <row r="174" spans="1:3" x14ac:dyDescent="0.25">
      <c r="A174" s="2">
        <v>168</v>
      </c>
      <c r="B174" s="3">
        <v>3.0665432789399941E-3</v>
      </c>
      <c r="C174" s="3">
        <v>2.4983176445194204E-3</v>
      </c>
    </row>
    <row r="175" spans="1:3" x14ac:dyDescent="0.25">
      <c r="A175" s="2">
        <v>169</v>
      </c>
      <c r="B175" s="3">
        <v>2.9374075129646824E-3</v>
      </c>
      <c r="C175" s="3">
        <v>2.3572300313796308E-3</v>
      </c>
    </row>
    <row r="176" spans="1:3" x14ac:dyDescent="0.25">
      <c r="A176" s="2">
        <v>170</v>
      </c>
      <c r="B176" s="3">
        <v>2.6062823260047242E-3</v>
      </c>
      <c r="C176" s="3">
        <v>2.2970050654903679E-3</v>
      </c>
    </row>
    <row r="177" spans="1:3" x14ac:dyDescent="0.25">
      <c r="A177" s="2">
        <v>171</v>
      </c>
      <c r="B177" s="3">
        <v>2.8258001565679407E-3</v>
      </c>
      <c r="C177" s="3">
        <v>2.0799492410423447E-3</v>
      </c>
    </row>
    <row r="178" spans="1:3" x14ac:dyDescent="0.25">
      <c r="A178" s="2">
        <v>172</v>
      </c>
      <c r="B178" s="3">
        <v>2.5967137342454176E-3</v>
      </c>
      <c r="C178" s="3">
        <v>2.0660248969824242E-3</v>
      </c>
    </row>
    <row r="179" spans="1:3" x14ac:dyDescent="0.25">
      <c r="A179" s="2">
        <v>173</v>
      </c>
      <c r="B179" s="3">
        <v>2.651548352398077E-3</v>
      </c>
      <c r="C179" s="3">
        <v>1.8629484948892822E-3</v>
      </c>
    </row>
    <row r="180" spans="1:3" x14ac:dyDescent="0.25">
      <c r="A180" s="2">
        <v>174</v>
      </c>
      <c r="B180" s="3">
        <v>2.4981095910627873E-3</v>
      </c>
      <c r="C180" s="3">
        <v>1.8661670056532213E-3</v>
      </c>
    </row>
    <row r="181" spans="1:3" x14ac:dyDescent="0.25">
      <c r="A181" s="2">
        <v>175</v>
      </c>
      <c r="B181" s="3">
        <v>2.4627716629012615E-3</v>
      </c>
      <c r="C181" s="3">
        <v>1.6919940750005731E-3</v>
      </c>
    </row>
    <row r="182" spans="1:3" x14ac:dyDescent="0.25">
      <c r="A182" s="2">
        <v>176</v>
      </c>
      <c r="B182" s="3">
        <v>2.3114659837352117E-3</v>
      </c>
      <c r="C182" s="3">
        <v>1.5294561404054963E-3</v>
      </c>
    </row>
    <row r="183" spans="1:3" x14ac:dyDescent="0.25">
      <c r="A183" s="2">
        <v>177</v>
      </c>
      <c r="B183" s="3">
        <v>2.2137328677741402E-3</v>
      </c>
      <c r="C183" s="3">
        <v>1.3978324490178664E-3</v>
      </c>
    </row>
    <row r="184" spans="1:3" x14ac:dyDescent="0.25">
      <c r="A184" s="2">
        <v>178</v>
      </c>
      <c r="B184" s="3">
        <v>2.1428244906340618E-3</v>
      </c>
      <c r="C184" s="3">
        <v>1.2399530148217452E-3</v>
      </c>
    </row>
    <row r="185" spans="1:3" x14ac:dyDescent="0.25">
      <c r="A185" s="2">
        <v>179</v>
      </c>
      <c r="B185" s="3">
        <v>1.9460604475898769E-3</v>
      </c>
      <c r="C185" s="3">
        <v>1.29012252289808E-3</v>
      </c>
    </row>
    <row r="186" spans="1:3" x14ac:dyDescent="0.25">
      <c r="A186" s="2">
        <v>180</v>
      </c>
      <c r="B186" s="3">
        <v>1.8600952385042025E-3</v>
      </c>
      <c r="C186" s="3">
        <v>1.2686038962429552E-3</v>
      </c>
    </row>
    <row r="187" spans="1:3" x14ac:dyDescent="0.25">
      <c r="A187" s="2">
        <v>181</v>
      </c>
      <c r="B187" s="3">
        <v>1.5732101077990679E-3</v>
      </c>
      <c r="C187" s="3">
        <v>9.4557446498765322E-4</v>
      </c>
    </row>
    <row r="188" spans="1:3" x14ac:dyDescent="0.25">
      <c r="A188" s="2">
        <v>182</v>
      </c>
      <c r="B188" s="3">
        <v>1.3749363571103177E-3</v>
      </c>
      <c r="C188" s="3">
        <v>7.33060679804756E-4</v>
      </c>
    </row>
    <row r="189" spans="1:3" x14ac:dyDescent="0.25">
      <c r="A189" s="2">
        <v>183</v>
      </c>
      <c r="B189" s="3">
        <v>1.5954343520953056E-3</v>
      </c>
      <c r="C189" s="3">
        <v>8.0318016865002289E-4</v>
      </c>
    </row>
    <row r="190" spans="1:3" x14ac:dyDescent="0.25">
      <c r="A190" s="2">
        <v>184</v>
      </c>
      <c r="B190" s="3">
        <v>1.3048299605494397E-3</v>
      </c>
      <c r="C190" s="3">
        <v>5.2865651626423195E-4</v>
      </c>
    </row>
    <row r="191" spans="1:3" x14ac:dyDescent="0.25">
      <c r="A191" s="2">
        <v>185</v>
      </c>
      <c r="B191" s="3">
        <v>9.9038742849174265E-4</v>
      </c>
      <c r="C191" s="3">
        <v>5.4484090621843861E-4</v>
      </c>
    </row>
    <row r="192" spans="1:3" x14ac:dyDescent="0.25">
      <c r="A192" s="2">
        <v>186</v>
      </c>
      <c r="B192" s="3">
        <v>8.4971046114531968E-4</v>
      </c>
      <c r="C192" s="3">
        <v>3.8503400155791745E-4</v>
      </c>
    </row>
    <row r="193" spans="1:3" x14ac:dyDescent="0.25">
      <c r="A193" s="2">
        <v>187</v>
      </c>
      <c r="B193" s="3">
        <v>6.1934639644575253E-4</v>
      </c>
      <c r="C193" s="3">
        <v>2.2010969835123786E-4</v>
      </c>
    </row>
    <row r="194" spans="1:3" x14ac:dyDescent="0.25">
      <c r="A194" s="2">
        <v>188</v>
      </c>
      <c r="B194" s="3">
        <v>5.8220983481967821E-4</v>
      </c>
      <c r="C194" s="3">
        <v>1.8185505933387606E-4</v>
      </c>
    </row>
    <row r="195" spans="1:3" x14ac:dyDescent="0.25">
      <c r="A195" s="2">
        <v>189</v>
      </c>
      <c r="B195" s="3">
        <v>4.9257422090651256E-4</v>
      </c>
      <c r="C195" s="3">
        <v>1.2397067831514087E-4</v>
      </c>
    </row>
    <row r="196" spans="1:3" x14ac:dyDescent="0.25">
      <c r="A196" s="2">
        <v>190</v>
      </c>
      <c r="B196" s="3">
        <v>2.6416804955147643E-4</v>
      </c>
      <c r="C196" s="3">
        <v>4.9616398182135729E-5</v>
      </c>
    </row>
    <row r="197" spans="1:3" x14ac:dyDescent="0.25">
      <c r="A197" s="2">
        <v>191</v>
      </c>
      <c r="B197" s="3">
        <v>2.001781058196833E-4</v>
      </c>
      <c r="C197" s="3">
        <v>2.3458517242794461E-5</v>
      </c>
    </row>
    <row r="198" spans="1:3" x14ac:dyDescent="0.25">
      <c r="A198" s="2">
        <v>192</v>
      </c>
      <c r="B198" s="3">
        <v>1.3937256490264749E-4</v>
      </c>
      <c r="C198" s="3">
        <v>2.4120045668185631E-6</v>
      </c>
    </row>
    <row r="199" spans="1:3" x14ac:dyDescent="0.25">
      <c r="A199" s="2">
        <v>193</v>
      </c>
      <c r="B199" s="3">
        <v>6.9121475232485625E-5</v>
      </c>
      <c r="C199" s="3">
        <v>0</v>
      </c>
    </row>
    <row r="200" spans="1:3" x14ac:dyDescent="0.25">
      <c r="A200" s="2">
        <v>194</v>
      </c>
      <c r="B200" s="3">
        <v>2.276820487697993E-5</v>
      </c>
      <c r="C200" s="3">
        <v>0</v>
      </c>
    </row>
    <row r="201" spans="1:3" x14ac:dyDescent="0.25">
      <c r="A201" s="2">
        <v>195</v>
      </c>
      <c r="B201" s="3">
        <v>2.3078324244487814E-6</v>
      </c>
      <c r="C201" s="3">
        <v>0</v>
      </c>
    </row>
    <row r="202" spans="1:3" x14ac:dyDescent="0.25">
      <c r="A202" s="2">
        <v>196</v>
      </c>
      <c r="B202" s="3">
        <v>0</v>
      </c>
      <c r="C202" s="3">
        <v>0</v>
      </c>
    </row>
    <row r="203" spans="1:3" x14ac:dyDescent="0.25">
      <c r="A203" s="2">
        <v>197</v>
      </c>
      <c r="B203" s="3">
        <v>0</v>
      </c>
      <c r="C203" s="3">
        <v>0</v>
      </c>
    </row>
    <row r="204" spans="1:3" x14ac:dyDescent="0.25">
      <c r="A204" s="2">
        <v>198</v>
      </c>
      <c r="B204" s="3">
        <v>0</v>
      </c>
      <c r="C204" s="3">
        <v>0</v>
      </c>
    </row>
    <row r="205" spans="1:3" x14ac:dyDescent="0.25">
      <c r="A205" s="2">
        <v>199</v>
      </c>
      <c r="B205" s="3">
        <v>0</v>
      </c>
      <c r="C205" s="3">
        <v>0</v>
      </c>
    </row>
    <row r="206" spans="1:3" x14ac:dyDescent="0.25">
      <c r="A206" s="2">
        <v>200</v>
      </c>
      <c r="B206" s="3">
        <v>0</v>
      </c>
      <c r="C206" s="3">
        <v>0</v>
      </c>
    </row>
    <row r="207" spans="1:3" x14ac:dyDescent="0.25">
      <c r="A207" s="2" t="s">
        <v>3</v>
      </c>
      <c r="B207" s="3">
        <v>0.5766907018443348</v>
      </c>
      <c r="C207" s="3">
        <v>0.55180986559527978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06"/>
  <sheetViews>
    <sheetView workbookViewId="0">
      <selection activeCell="D3" sqref="D3"/>
    </sheetView>
  </sheetViews>
  <sheetFormatPr defaultRowHeight="15" x14ac:dyDescent="0.25"/>
  <cols>
    <col min="1" max="1" width="15.85546875" bestFit="1" customWidth="1"/>
    <col min="2" max="2" width="17.85546875" bestFit="1" customWidth="1"/>
    <col min="3" max="3" width="15.140625" bestFit="1" customWidth="1"/>
    <col min="4" max="4" width="15.140625" customWidth="1"/>
    <col min="5" max="6" width="16.28515625" bestFit="1" customWidth="1"/>
    <col min="7" max="7" width="11.28515625" bestFit="1" customWidth="1"/>
    <col min="8" max="8" width="12" bestFit="1" customWidth="1"/>
  </cols>
  <sheetData>
    <row r="1" spans="1:5" x14ac:dyDescent="0.25">
      <c r="A1" s="1" t="s">
        <v>1</v>
      </c>
      <c r="B1" t="s" vm="1">
        <v>6</v>
      </c>
      <c r="E1" t="s">
        <v>9</v>
      </c>
    </row>
    <row r="2" spans="1:5" x14ac:dyDescent="0.25">
      <c r="A2" s="1" t="s">
        <v>0</v>
      </c>
      <c r="B2" t="s" vm="2">
        <v>11</v>
      </c>
      <c r="E2" t="s">
        <v>10</v>
      </c>
    </row>
    <row r="3" spans="1:5" x14ac:dyDescent="0.25">
      <c r="E3" t="s">
        <v>7</v>
      </c>
    </row>
    <row r="4" spans="1:5" x14ac:dyDescent="0.25">
      <c r="A4" s="1" t="s">
        <v>2</v>
      </c>
      <c r="B4" t="s">
        <v>5</v>
      </c>
      <c r="E4" t="s">
        <v>8</v>
      </c>
    </row>
    <row r="5" spans="1:5" x14ac:dyDescent="0.25">
      <c r="A5" s="2">
        <v>0</v>
      </c>
      <c r="B5" s="3">
        <v>6.2378563193740385E-4</v>
      </c>
      <c r="E5" t="s">
        <v>16</v>
      </c>
    </row>
    <row r="6" spans="1:5" x14ac:dyDescent="0.25">
      <c r="A6" s="2">
        <v>1</v>
      </c>
      <c r="B6" s="3">
        <v>1.4057813626949945E-3</v>
      </c>
      <c r="E6" t="s">
        <v>17</v>
      </c>
    </row>
    <row r="7" spans="1:5" x14ac:dyDescent="0.25">
      <c r="A7" s="2">
        <v>2</v>
      </c>
      <c r="B7" s="3">
        <v>1.7067301935658179E-3</v>
      </c>
      <c r="E7" t="s">
        <v>12</v>
      </c>
    </row>
    <row r="8" spans="1:5" x14ac:dyDescent="0.25">
      <c r="A8" s="2">
        <v>3</v>
      </c>
      <c r="B8" s="3">
        <v>1.9237258435689513E-3</v>
      </c>
      <c r="E8" t="s">
        <v>13</v>
      </c>
    </row>
    <row r="9" spans="1:5" x14ac:dyDescent="0.25">
      <c r="A9" s="2">
        <v>4</v>
      </c>
      <c r="B9" s="3">
        <v>2.0157313191564693E-3</v>
      </c>
      <c r="E9" t="s">
        <v>14</v>
      </c>
    </row>
    <row r="10" spans="1:5" x14ac:dyDescent="0.25">
      <c r="A10" s="2">
        <v>5</v>
      </c>
      <c r="B10" s="3">
        <v>1.9743402597262247E-3</v>
      </c>
      <c r="E10" t="s">
        <v>15</v>
      </c>
    </row>
    <row r="11" spans="1:5" x14ac:dyDescent="0.25">
      <c r="A11" s="2">
        <v>6</v>
      </c>
      <c r="B11" s="3">
        <v>2.1104433678800637E-3</v>
      </c>
    </row>
    <row r="12" spans="1:5" x14ac:dyDescent="0.25">
      <c r="A12" s="2">
        <v>7</v>
      </c>
      <c r="B12" s="3">
        <v>2.0913031442355255E-3</v>
      </c>
    </row>
    <row r="13" spans="1:5" x14ac:dyDescent="0.25">
      <c r="A13" s="2">
        <v>8</v>
      </c>
      <c r="B13" s="3">
        <v>2.1938545411325206E-3</v>
      </c>
    </row>
    <row r="14" spans="1:5" x14ac:dyDescent="0.25">
      <c r="A14" s="2">
        <v>9</v>
      </c>
      <c r="B14" s="3">
        <v>2.2498278477859849E-3</v>
      </c>
    </row>
    <row r="15" spans="1:5" x14ac:dyDescent="0.25">
      <c r="A15" s="2">
        <v>10</v>
      </c>
      <c r="B15" s="3">
        <v>2.2490770046669716E-3</v>
      </c>
    </row>
    <row r="16" spans="1:5" x14ac:dyDescent="0.25">
      <c r="A16" s="2">
        <v>11</v>
      </c>
      <c r="B16" s="3">
        <v>2.3730824598479023E-3</v>
      </c>
    </row>
    <row r="17" spans="1:2" x14ac:dyDescent="0.25">
      <c r="A17" s="2">
        <v>12</v>
      </c>
      <c r="B17" s="3">
        <v>2.410852925116991E-3</v>
      </c>
    </row>
    <row r="18" spans="1:2" x14ac:dyDescent="0.25">
      <c r="A18" s="2">
        <v>13</v>
      </c>
      <c r="B18" s="3">
        <v>2.3305191308278937E-3</v>
      </c>
    </row>
    <row r="19" spans="1:2" x14ac:dyDescent="0.25">
      <c r="A19" s="2">
        <v>14</v>
      </c>
      <c r="B19" s="3">
        <v>2.4708978835637466E-3</v>
      </c>
    </row>
    <row r="20" spans="1:2" x14ac:dyDescent="0.25">
      <c r="A20" s="2">
        <v>15</v>
      </c>
      <c r="B20" s="3">
        <v>2.465843561607237E-3</v>
      </c>
    </row>
    <row r="21" spans="1:2" x14ac:dyDescent="0.25">
      <c r="A21" s="2">
        <v>16</v>
      </c>
      <c r="B21" s="3">
        <v>2.3838478638342022E-3</v>
      </c>
    </row>
    <row r="22" spans="1:2" x14ac:dyDescent="0.25">
      <c r="A22" s="2">
        <v>17</v>
      </c>
      <c r="B22" s="3">
        <v>2.5357928608831263E-3</v>
      </c>
    </row>
    <row r="23" spans="1:2" x14ac:dyDescent="0.25">
      <c r="A23" s="2">
        <v>18</v>
      </c>
      <c r="B23" s="3">
        <v>2.6439194187242864E-3</v>
      </c>
    </row>
    <row r="24" spans="1:2" x14ac:dyDescent="0.25">
      <c r="A24" s="2">
        <v>19</v>
      </c>
      <c r="B24" s="3">
        <v>2.5239715321835939E-3</v>
      </c>
    </row>
    <row r="25" spans="1:2" x14ac:dyDescent="0.25">
      <c r="A25" s="2">
        <v>20</v>
      </c>
      <c r="B25" s="3">
        <v>2.8503128975325915E-3</v>
      </c>
    </row>
    <row r="26" spans="1:2" x14ac:dyDescent="0.25">
      <c r="A26" s="2">
        <v>21</v>
      </c>
      <c r="B26" s="3">
        <v>2.6753027806789994E-3</v>
      </c>
    </row>
    <row r="27" spans="1:2" x14ac:dyDescent="0.25">
      <c r="A27" s="2">
        <v>22</v>
      </c>
      <c r="B27" s="3">
        <v>2.6999513974718501E-3</v>
      </c>
    </row>
    <row r="28" spans="1:2" x14ac:dyDescent="0.25">
      <c r="A28" s="2">
        <v>23</v>
      </c>
      <c r="B28" s="3">
        <v>2.76551442143923E-3</v>
      </c>
    </row>
    <row r="29" spans="1:2" x14ac:dyDescent="0.25">
      <c r="A29" s="2">
        <v>24</v>
      </c>
      <c r="B29" s="3">
        <v>2.8290181876934398E-3</v>
      </c>
    </row>
    <row r="30" spans="1:2" x14ac:dyDescent="0.25">
      <c r="A30" s="2">
        <v>25</v>
      </c>
      <c r="B30" s="3">
        <v>2.8766172759905105E-3</v>
      </c>
    </row>
    <row r="31" spans="1:2" x14ac:dyDescent="0.25">
      <c r="A31" s="2">
        <v>26</v>
      </c>
      <c r="B31" s="3">
        <v>3.0038887014472598E-3</v>
      </c>
    </row>
    <row r="32" spans="1:2" x14ac:dyDescent="0.25">
      <c r="A32" s="2">
        <v>27</v>
      </c>
      <c r="B32" s="3">
        <v>3.1034089898376088E-3</v>
      </c>
    </row>
    <row r="33" spans="1:5" x14ac:dyDescent="0.25">
      <c r="A33" s="2">
        <v>28</v>
      </c>
      <c r="B33" s="3">
        <v>3.0187822509172221E-3</v>
      </c>
    </row>
    <row r="34" spans="1:5" x14ac:dyDescent="0.25">
      <c r="A34" s="2">
        <v>29</v>
      </c>
      <c r="B34" s="3">
        <v>2.916385883687052E-3</v>
      </c>
    </row>
    <row r="35" spans="1:5" x14ac:dyDescent="0.25">
      <c r="A35" s="2">
        <v>30</v>
      </c>
      <c r="B35" s="3">
        <v>3.1748740007263906E-3</v>
      </c>
    </row>
    <row r="36" spans="1:5" x14ac:dyDescent="0.25">
      <c r="A36" s="2">
        <v>31</v>
      </c>
      <c r="B36" s="3">
        <v>2.9158798576789011E-3</v>
      </c>
      <c r="E36" t="s">
        <v>18</v>
      </c>
    </row>
    <row r="37" spans="1:5" x14ac:dyDescent="0.25">
      <c r="A37" s="2">
        <v>32</v>
      </c>
      <c r="B37" s="3">
        <v>3.2133242644024756E-3</v>
      </c>
    </row>
    <row r="38" spans="1:5" x14ac:dyDescent="0.25">
      <c r="A38" s="2">
        <v>33</v>
      </c>
      <c r="B38" s="3">
        <v>3.2197403997441202E-3</v>
      </c>
    </row>
    <row r="39" spans="1:5" x14ac:dyDescent="0.25">
      <c r="A39" s="2">
        <v>34</v>
      </c>
      <c r="B39" s="3">
        <v>3.2826499575686775E-3</v>
      </c>
    </row>
    <row r="40" spans="1:5" x14ac:dyDescent="0.25">
      <c r="A40" s="2">
        <v>35</v>
      </c>
      <c r="B40" s="3">
        <v>3.1810341027265487E-3</v>
      </c>
    </row>
    <row r="41" spans="1:5" x14ac:dyDescent="0.25">
      <c r="A41" s="2">
        <v>36</v>
      </c>
      <c r="B41" s="3">
        <v>3.2502939877018058E-3</v>
      </c>
    </row>
    <row r="42" spans="1:5" x14ac:dyDescent="0.25">
      <c r="A42" s="2">
        <v>37</v>
      </c>
      <c r="B42" s="3">
        <v>3.1745584261121014E-3</v>
      </c>
    </row>
    <row r="43" spans="1:5" x14ac:dyDescent="0.25">
      <c r="A43" s="2">
        <v>38</v>
      </c>
      <c r="B43" s="3">
        <v>3.3639905878435623E-3</v>
      </c>
    </row>
    <row r="44" spans="1:5" x14ac:dyDescent="0.25">
      <c r="A44" s="2">
        <v>39</v>
      </c>
      <c r="B44" s="3">
        <v>3.2033245944173873E-3</v>
      </c>
    </row>
    <row r="45" spans="1:5" x14ac:dyDescent="0.25">
      <c r="A45" s="2">
        <v>40</v>
      </c>
      <c r="B45" s="3">
        <v>3.2729057382976925E-3</v>
      </c>
    </row>
    <row r="46" spans="1:5" x14ac:dyDescent="0.25">
      <c r="A46" s="2">
        <v>41</v>
      </c>
      <c r="B46" s="3">
        <v>3.0949975750723664E-3</v>
      </c>
    </row>
    <row r="47" spans="1:5" x14ac:dyDescent="0.25">
      <c r="A47" s="2">
        <v>42</v>
      </c>
      <c r="B47" s="3">
        <v>3.1712444029957628E-3</v>
      </c>
    </row>
    <row r="48" spans="1:5" x14ac:dyDescent="0.25">
      <c r="A48" s="2">
        <v>43</v>
      </c>
      <c r="B48" s="3">
        <v>3.1678971104687247E-3</v>
      </c>
    </row>
    <row r="49" spans="1:2" x14ac:dyDescent="0.25">
      <c r="A49" s="2">
        <v>44</v>
      </c>
      <c r="B49" s="3">
        <v>2.8785526918920917E-3</v>
      </c>
    </row>
    <row r="50" spans="1:2" x14ac:dyDescent="0.25">
      <c r="A50" s="2">
        <v>45</v>
      </c>
      <c r="B50" s="3">
        <v>2.9418079175862703E-3</v>
      </c>
    </row>
    <row r="51" spans="1:2" x14ac:dyDescent="0.25">
      <c r="A51" s="2">
        <v>46</v>
      </c>
      <c r="B51" s="3">
        <v>3.1266936846527046E-3</v>
      </c>
    </row>
    <row r="52" spans="1:2" x14ac:dyDescent="0.25">
      <c r="A52" s="2">
        <v>47</v>
      </c>
      <c r="B52" s="3">
        <v>2.9579598407058934E-3</v>
      </c>
    </row>
    <row r="53" spans="1:2" x14ac:dyDescent="0.25">
      <c r="A53" s="2">
        <v>48</v>
      </c>
      <c r="B53" s="3">
        <v>3.1585241761021847E-3</v>
      </c>
    </row>
    <row r="54" spans="1:2" x14ac:dyDescent="0.25">
      <c r="A54" s="2">
        <v>49</v>
      </c>
      <c r="B54" s="3">
        <v>2.9878654026142992E-3</v>
      </c>
    </row>
    <row r="55" spans="1:2" x14ac:dyDescent="0.25">
      <c r="A55" s="2">
        <v>50</v>
      </c>
      <c r="B55" s="3">
        <v>3.1038872354504873E-3</v>
      </c>
    </row>
    <row r="56" spans="1:2" x14ac:dyDescent="0.25">
      <c r="A56" s="2">
        <v>51</v>
      </c>
      <c r="B56" s="3">
        <v>2.9042870455048293E-3</v>
      </c>
    </row>
    <row r="57" spans="1:2" x14ac:dyDescent="0.25">
      <c r="A57" s="2">
        <v>52</v>
      </c>
      <c r="B57" s="3">
        <v>2.9673495505308581E-3</v>
      </c>
    </row>
    <row r="58" spans="1:2" x14ac:dyDescent="0.25">
      <c r="A58" s="2">
        <v>53</v>
      </c>
      <c r="B58" s="3">
        <v>3.2397300515165355E-3</v>
      </c>
    </row>
    <row r="59" spans="1:2" x14ac:dyDescent="0.25">
      <c r="A59" s="2">
        <v>54</v>
      </c>
      <c r="B59" s="3">
        <v>3.0634899285473896E-3</v>
      </c>
    </row>
    <row r="60" spans="1:2" x14ac:dyDescent="0.25">
      <c r="A60" s="2">
        <v>55</v>
      </c>
      <c r="B60" s="3">
        <v>3.2657411944279633E-3</v>
      </c>
    </row>
    <row r="61" spans="1:2" x14ac:dyDescent="0.25">
      <c r="A61" s="2">
        <v>56</v>
      </c>
      <c r="B61" s="3">
        <v>2.9348393193685696E-3</v>
      </c>
    </row>
    <row r="62" spans="1:2" x14ac:dyDescent="0.25">
      <c r="A62" s="2">
        <v>57</v>
      </c>
      <c r="B62" s="3">
        <v>3.0313681068872638E-3</v>
      </c>
    </row>
    <row r="63" spans="1:2" x14ac:dyDescent="0.25">
      <c r="A63" s="2">
        <v>58</v>
      </c>
      <c r="B63" s="3">
        <v>3.2610373555725884E-3</v>
      </c>
    </row>
    <row r="64" spans="1:2" x14ac:dyDescent="0.25">
      <c r="A64" s="2">
        <v>59</v>
      </c>
      <c r="B64" s="3">
        <v>3.0357675707907237E-3</v>
      </c>
    </row>
    <row r="65" spans="1:2" x14ac:dyDescent="0.25">
      <c r="A65" s="2">
        <v>60</v>
      </c>
      <c r="B65" s="3">
        <v>3.1065790874640537E-3</v>
      </c>
    </row>
    <row r="66" spans="1:2" x14ac:dyDescent="0.25">
      <c r="A66" s="2">
        <v>61</v>
      </c>
      <c r="B66" s="3">
        <v>3.0490017079403344E-3</v>
      </c>
    </row>
    <row r="67" spans="1:2" x14ac:dyDescent="0.25">
      <c r="A67" s="2">
        <v>62</v>
      </c>
      <c r="B67" s="3">
        <v>3.0946318538270729E-3</v>
      </c>
    </row>
    <row r="68" spans="1:2" x14ac:dyDescent="0.25">
      <c r="A68" s="2">
        <v>63</v>
      </c>
      <c r="B68" s="3">
        <v>3.042316065611454E-3</v>
      </c>
    </row>
    <row r="69" spans="1:2" x14ac:dyDescent="0.25">
      <c r="A69" s="2">
        <v>64</v>
      </c>
      <c r="B69" s="3">
        <v>3.033899677608057E-3</v>
      </c>
    </row>
    <row r="70" spans="1:2" x14ac:dyDescent="0.25">
      <c r="A70" s="2">
        <v>65</v>
      </c>
      <c r="B70" s="3">
        <v>2.9904190170540268E-3</v>
      </c>
    </row>
    <row r="71" spans="1:2" x14ac:dyDescent="0.25">
      <c r="A71" s="2">
        <v>66</v>
      </c>
      <c r="B71" s="3">
        <v>2.9553239488637846E-3</v>
      </c>
    </row>
    <row r="72" spans="1:2" x14ac:dyDescent="0.25">
      <c r="A72" s="2">
        <v>67</v>
      </c>
      <c r="B72" s="3">
        <v>3.0368487660681139E-3</v>
      </c>
    </row>
    <row r="73" spans="1:2" x14ac:dyDescent="0.25">
      <c r="A73" s="2">
        <v>68</v>
      </c>
      <c r="B73" s="3">
        <v>3.1825657247508809E-3</v>
      </c>
    </row>
    <row r="74" spans="1:2" x14ac:dyDescent="0.25">
      <c r="A74" s="2">
        <v>69</v>
      </c>
      <c r="B74" s="3">
        <v>3.1224263090747746E-3</v>
      </c>
    </row>
    <row r="75" spans="1:2" x14ac:dyDescent="0.25">
      <c r="A75" s="2">
        <v>70</v>
      </c>
      <c r="B75" s="3">
        <v>3.0996365837997553E-3</v>
      </c>
    </row>
    <row r="76" spans="1:2" x14ac:dyDescent="0.25">
      <c r="A76" s="2">
        <v>71</v>
      </c>
      <c r="B76" s="3">
        <v>3.1959584714760661E-3</v>
      </c>
    </row>
    <row r="77" spans="1:2" x14ac:dyDescent="0.25">
      <c r="A77" s="2">
        <v>72</v>
      </c>
      <c r="B77" s="3">
        <v>3.2473887973846149E-3</v>
      </c>
    </row>
    <row r="78" spans="1:2" x14ac:dyDescent="0.25">
      <c r="A78" s="2">
        <v>73</v>
      </c>
      <c r="B78" s="3">
        <v>3.2838299008847525E-3</v>
      </c>
    </row>
    <row r="79" spans="1:2" x14ac:dyDescent="0.25">
      <c r="A79" s="2">
        <v>74</v>
      </c>
      <c r="B79" s="3">
        <v>3.0618226647723063E-3</v>
      </c>
    </row>
    <row r="80" spans="1:2" x14ac:dyDescent="0.25">
      <c r="A80" s="2">
        <v>75</v>
      </c>
      <c r="B80" s="3">
        <v>3.3273730272586855E-3</v>
      </c>
    </row>
    <row r="81" spans="1:2" x14ac:dyDescent="0.25">
      <c r="A81" s="2">
        <v>76</v>
      </c>
      <c r="B81" s="3">
        <v>3.2983344811941492E-3</v>
      </c>
    </row>
    <row r="82" spans="1:2" x14ac:dyDescent="0.25">
      <c r="A82" s="2">
        <v>77</v>
      </c>
      <c r="B82" s="3">
        <v>3.3928905197195447E-3</v>
      </c>
    </row>
    <row r="83" spans="1:2" x14ac:dyDescent="0.25">
      <c r="A83" s="2">
        <v>78</v>
      </c>
      <c r="B83" s="3">
        <v>3.5139402497796563E-3</v>
      </c>
    </row>
    <row r="84" spans="1:2" x14ac:dyDescent="0.25">
      <c r="A84" s="2">
        <v>79</v>
      </c>
      <c r="B84" s="3">
        <v>3.5620845992438647E-3</v>
      </c>
    </row>
    <row r="85" spans="1:2" x14ac:dyDescent="0.25">
      <c r="A85" s="2">
        <v>80</v>
      </c>
      <c r="B85" s="3">
        <v>3.4740525309206326E-3</v>
      </c>
    </row>
    <row r="86" spans="1:2" x14ac:dyDescent="0.25">
      <c r="A86" s="2">
        <v>81</v>
      </c>
      <c r="B86" s="3">
        <v>3.6237073967286112E-3</v>
      </c>
    </row>
    <row r="87" spans="1:2" x14ac:dyDescent="0.25">
      <c r="A87" s="2">
        <v>82</v>
      </c>
      <c r="B87" s="3">
        <v>3.7810975476477949E-3</v>
      </c>
    </row>
    <row r="88" spans="1:2" x14ac:dyDescent="0.25">
      <c r="A88" s="2">
        <v>83</v>
      </c>
      <c r="B88" s="3">
        <v>3.5378976528586546E-3</v>
      </c>
    </row>
    <row r="89" spans="1:2" x14ac:dyDescent="0.25">
      <c r="A89" s="2">
        <v>84</v>
      </c>
      <c r="B89" s="3">
        <v>3.5442288294530232E-3</v>
      </c>
    </row>
    <row r="90" spans="1:2" x14ac:dyDescent="0.25">
      <c r="A90" s="2">
        <v>85</v>
      </c>
      <c r="B90" s="3">
        <v>3.2876621097114229E-3</v>
      </c>
    </row>
    <row r="91" spans="1:2" x14ac:dyDescent="0.25">
      <c r="A91" s="2">
        <v>86</v>
      </c>
      <c r="B91" s="3">
        <v>3.4095290809932144E-3</v>
      </c>
    </row>
    <row r="92" spans="1:2" x14ac:dyDescent="0.25">
      <c r="A92" s="2">
        <v>87</v>
      </c>
      <c r="B92" s="3">
        <v>3.7707770371602943E-3</v>
      </c>
    </row>
    <row r="93" spans="1:2" x14ac:dyDescent="0.25">
      <c r="A93" s="2">
        <v>88</v>
      </c>
      <c r="B93" s="3">
        <v>3.7035314671149447E-3</v>
      </c>
    </row>
    <row r="94" spans="1:2" x14ac:dyDescent="0.25">
      <c r="A94" s="2">
        <v>89</v>
      </c>
      <c r="B94" s="3">
        <v>3.4708477466317477E-3</v>
      </c>
    </row>
    <row r="95" spans="1:2" x14ac:dyDescent="0.25">
      <c r="A95" s="2">
        <v>90</v>
      </c>
      <c r="B95" s="3">
        <v>3.6467539265902867E-3</v>
      </c>
    </row>
    <row r="96" spans="1:2" x14ac:dyDescent="0.25">
      <c r="A96" s="2">
        <v>91</v>
      </c>
      <c r="B96" s="3">
        <v>3.7976402150842162E-3</v>
      </c>
    </row>
    <row r="97" spans="1:2" x14ac:dyDescent="0.25">
      <c r="A97" s="2">
        <v>92</v>
      </c>
      <c r="B97" s="3">
        <v>3.7317531387105665E-3</v>
      </c>
    </row>
    <row r="98" spans="1:2" x14ac:dyDescent="0.25">
      <c r="A98" s="2">
        <v>93</v>
      </c>
      <c r="B98" s="3">
        <v>3.6001504122769525E-3</v>
      </c>
    </row>
    <row r="99" spans="1:2" x14ac:dyDescent="0.25">
      <c r="A99" s="2">
        <v>94</v>
      </c>
      <c r="B99" s="3">
        <v>3.6032085350412332E-3</v>
      </c>
    </row>
    <row r="100" spans="1:2" x14ac:dyDescent="0.25">
      <c r="A100" s="2">
        <v>95</v>
      </c>
      <c r="B100" s="3">
        <v>3.6796367097857432E-3</v>
      </c>
    </row>
    <row r="101" spans="1:2" x14ac:dyDescent="0.25">
      <c r="A101" s="2">
        <v>96</v>
      </c>
      <c r="B101" s="3">
        <v>3.79071043379293E-3</v>
      </c>
    </row>
    <row r="102" spans="1:2" x14ac:dyDescent="0.25">
      <c r="A102" s="2">
        <v>97</v>
      </c>
      <c r="B102" s="3">
        <v>3.7017607185826007E-3</v>
      </c>
    </row>
    <row r="103" spans="1:2" x14ac:dyDescent="0.25">
      <c r="A103" s="2">
        <v>98</v>
      </c>
      <c r="B103" s="3">
        <v>3.6136860442238187E-3</v>
      </c>
    </row>
    <row r="104" spans="1:2" x14ac:dyDescent="0.25">
      <c r="A104" s="2">
        <v>99</v>
      </c>
      <c r="B104" s="3">
        <v>3.5016880641602997E-3</v>
      </c>
    </row>
    <row r="105" spans="1:2" x14ac:dyDescent="0.25">
      <c r="A105" s="2">
        <v>100</v>
      </c>
      <c r="B105" s="3">
        <v>3.5911588119740927E-3</v>
      </c>
    </row>
    <row r="106" spans="1:2" x14ac:dyDescent="0.25">
      <c r="A106" s="2">
        <v>101</v>
      </c>
      <c r="B106" s="3">
        <v>3.2771585254705985E-3</v>
      </c>
    </row>
    <row r="107" spans="1:2" x14ac:dyDescent="0.25">
      <c r="A107" s="2">
        <v>102</v>
      </c>
      <c r="B107" s="3">
        <v>3.2148155835015004E-3</v>
      </c>
    </row>
    <row r="108" spans="1:2" x14ac:dyDescent="0.25">
      <c r="A108" s="2">
        <v>103</v>
      </c>
      <c r="B108" s="3">
        <v>3.3238526507725903E-3</v>
      </c>
    </row>
    <row r="109" spans="1:2" x14ac:dyDescent="0.25">
      <c r="A109" s="2">
        <v>104</v>
      </c>
      <c r="B109" s="3">
        <v>3.2695164674932621E-3</v>
      </c>
    </row>
    <row r="110" spans="1:2" x14ac:dyDescent="0.25">
      <c r="A110" s="2">
        <v>105</v>
      </c>
      <c r="B110" s="3">
        <v>3.1614771906492939E-3</v>
      </c>
    </row>
    <row r="111" spans="1:2" x14ac:dyDescent="0.25">
      <c r="A111" s="2">
        <v>106</v>
      </c>
      <c r="B111" s="3">
        <v>3.2607650877442863E-3</v>
      </c>
    </row>
    <row r="112" spans="1:2" x14ac:dyDescent="0.25">
      <c r="A112" s="2">
        <v>107</v>
      </c>
      <c r="B112" s="3">
        <v>3.1341043840250101E-3</v>
      </c>
    </row>
    <row r="113" spans="1:2" x14ac:dyDescent="0.25">
      <c r="A113" s="2">
        <v>108</v>
      </c>
      <c r="B113" s="3">
        <v>3.2949286550140681E-3</v>
      </c>
    </row>
    <row r="114" spans="1:2" x14ac:dyDescent="0.25">
      <c r="A114" s="2">
        <v>109</v>
      </c>
      <c r="B114" s="3">
        <v>3.2801060277807678E-3</v>
      </c>
    </row>
    <row r="115" spans="1:2" x14ac:dyDescent="0.25">
      <c r="A115" s="2">
        <v>110</v>
      </c>
      <c r="B115" s="3">
        <v>3.2163867662594993E-3</v>
      </c>
    </row>
    <row r="116" spans="1:2" x14ac:dyDescent="0.25">
      <c r="A116" s="2">
        <v>111</v>
      </c>
      <c r="B116" s="3">
        <v>3.3410311923735714E-3</v>
      </c>
    </row>
    <row r="117" spans="1:2" x14ac:dyDescent="0.25">
      <c r="A117" s="2">
        <v>112</v>
      </c>
      <c r="B117" s="3">
        <v>3.1060838275731905E-3</v>
      </c>
    </row>
    <row r="118" spans="1:2" x14ac:dyDescent="0.25">
      <c r="A118" s="2">
        <v>113</v>
      </c>
      <c r="B118" s="3">
        <v>3.1517515154133686E-3</v>
      </c>
    </row>
    <row r="119" spans="1:2" x14ac:dyDescent="0.25">
      <c r="A119" s="2">
        <v>114</v>
      </c>
      <c r="B119" s="3">
        <v>2.8926345808746377E-3</v>
      </c>
    </row>
    <row r="120" spans="1:2" x14ac:dyDescent="0.25">
      <c r="A120" s="2">
        <v>115</v>
      </c>
      <c r="B120" s="3">
        <v>3.1699735230235641E-3</v>
      </c>
    </row>
    <row r="121" spans="1:2" x14ac:dyDescent="0.25">
      <c r="A121" s="2">
        <v>116</v>
      </c>
      <c r="B121" s="3">
        <v>3.3112172497183666E-3</v>
      </c>
    </row>
    <row r="122" spans="1:2" x14ac:dyDescent="0.25">
      <c r="A122" s="2">
        <v>117</v>
      </c>
      <c r="B122" s="3">
        <v>3.2161764140258833E-3</v>
      </c>
    </row>
    <row r="123" spans="1:2" x14ac:dyDescent="0.25">
      <c r="A123" s="2">
        <v>118</v>
      </c>
      <c r="B123" s="3">
        <v>3.126632579497511E-3</v>
      </c>
    </row>
    <row r="124" spans="1:2" x14ac:dyDescent="0.25">
      <c r="A124" s="2">
        <v>119</v>
      </c>
      <c r="B124" s="3">
        <v>3.3070868113139755E-3</v>
      </c>
    </row>
    <row r="125" spans="1:2" x14ac:dyDescent="0.25">
      <c r="A125" s="2">
        <v>120</v>
      </c>
      <c r="B125" s="3">
        <v>3.3525732714091822E-3</v>
      </c>
    </row>
    <row r="126" spans="1:2" x14ac:dyDescent="0.25">
      <c r="A126" s="2">
        <v>121</v>
      </c>
      <c r="B126" s="3">
        <v>2.9662635065872789E-3</v>
      </c>
    </row>
    <row r="127" spans="1:2" x14ac:dyDescent="0.25">
      <c r="A127" s="2">
        <v>122</v>
      </c>
      <c r="B127" s="3">
        <v>3.021298647294958E-3</v>
      </c>
    </row>
    <row r="128" spans="1:2" x14ac:dyDescent="0.25">
      <c r="A128" s="2">
        <v>123</v>
      </c>
      <c r="B128" s="3">
        <v>3.4398920416205373E-3</v>
      </c>
    </row>
    <row r="129" spans="1:2" x14ac:dyDescent="0.25">
      <c r="A129" s="2">
        <v>124</v>
      </c>
      <c r="B129" s="3">
        <v>3.5659718646582897E-3</v>
      </c>
    </row>
    <row r="130" spans="1:2" x14ac:dyDescent="0.25">
      <c r="A130" s="2">
        <v>125</v>
      </c>
      <c r="B130" s="3">
        <v>3.0546714726856806E-3</v>
      </c>
    </row>
    <row r="131" spans="1:2" x14ac:dyDescent="0.25">
      <c r="A131" s="2">
        <v>126</v>
      </c>
      <c r="B131" s="3">
        <v>3.4981299449421323E-3</v>
      </c>
    </row>
    <row r="132" spans="1:2" x14ac:dyDescent="0.25">
      <c r="A132" s="2">
        <v>127</v>
      </c>
      <c r="B132" s="3">
        <v>3.3310941303356109E-3</v>
      </c>
    </row>
    <row r="133" spans="1:2" x14ac:dyDescent="0.25">
      <c r="A133" s="2">
        <v>128</v>
      </c>
      <c r="B133" s="3">
        <v>3.3887611034208757E-3</v>
      </c>
    </row>
    <row r="134" spans="1:2" x14ac:dyDescent="0.25">
      <c r="A134" s="2">
        <v>129</v>
      </c>
      <c r="B134" s="3">
        <v>3.259150613129817E-3</v>
      </c>
    </row>
    <row r="135" spans="1:2" x14ac:dyDescent="0.25">
      <c r="A135" s="2">
        <v>130</v>
      </c>
      <c r="B135" s="3">
        <v>3.2412864023328093E-3</v>
      </c>
    </row>
    <row r="136" spans="1:2" x14ac:dyDescent="0.25">
      <c r="A136" s="2">
        <v>131</v>
      </c>
      <c r="B136" s="3">
        <v>3.4601073624709725E-3</v>
      </c>
    </row>
    <row r="137" spans="1:2" x14ac:dyDescent="0.25">
      <c r="A137" s="2">
        <v>132</v>
      </c>
      <c r="B137" s="3">
        <v>3.4537610724992185E-3</v>
      </c>
    </row>
    <row r="138" spans="1:2" x14ac:dyDescent="0.25">
      <c r="A138" s="2">
        <v>133</v>
      </c>
      <c r="B138" s="3">
        <v>3.4162571656343472E-3</v>
      </c>
    </row>
    <row r="139" spans="1:2" x14ac:dyDescent="0.25">
      <c r="A139" s="2">
        <v>134</v>
      </c>
      <c r="B139" s="3">
        <v>3.6289475660033657E-3</v>
      </c>
    </row>
    <row r="140" spans="1:2" x14ac:dyDescent="0.25">
      <c r="A140" s="2">
        <v>135</v>
      </c>
      <c r="B140" s="3">
        <v>3.4299518892000258E-3</v>
      </c>
    </row>
    <row r="141" spans="1:2" x14ac:dyDescent="0.25">
      <c r="A141" s="2">
        <v>136</v>
      </c>
      <c r="B141" s="3">
        <v>3.4405822706378678E-3</v>
      </c>
    </row>
    <row r="142" spans="1:2" x14ac:dyDescent="0.25">
      <c r="A142" s="2">
        <v>137</v>
      </c>
      <c r="B142" s="3">
        <v>3.7639548268749738E-3</v>
      </c>
    </row>
    <row r="143" spans="1:2" x14ac:dyDescent="0.25">
      <c r="A143" s="2">
        <v>138</v>
      </c>
      <c r="B143" s="3">
        <v>3.6331640031631047E-3</v>
      </c>
    </row>
    <row r="144" spans="1:2" x14ac:dyDescent="0.25">
      <c r="A144" s="2">
        <v>139</v>
      </c>
      <c r="B144" s="3">
        <v>3.592095644294125E-3</v>
      </c>
    </row>
    <row r="145" spans="1:2" x14ac:dyDescent="0.25">
      <c r="A145" s="2">
        <v>140</v>
      </c>
      <c r="B145" s="3">
        <v>3.6666606826204441E-3</v>
      </c>
    </row>
    <row r="146" spans="1:2" x14ac:dyDescent="0.25">
      <c r="A146" s="2">
        <v>141</v>
      </c>
      <c r="B146" s="3">
        <v>3.7851267798188824E-3</v>
      </c>
    </row>
    <row r="147" spans="1:2" x14ac:dyDescent="0.25">
      <c r="A147" s="2">
        <v>142</v>
      </c>
      <c r="B147" s="3">
        <v>3.7902674509655114E-3</v>
      </c>
    </row>
    <row r="148" spans="1:2" x14ac:dyDescent="0.25">
      <c r="A148" s="2">
        <v>143</v>
      </c>
      <c r="B148" s="3">
        <v>3.665364031184417E-3</v>
      </c>
    </row>
    <row r="149" spans="1:2" x14ac:dyDescent="0.25">
      <c r="A149" s="2">
        <v>144</v>
      </c>
      <c r="B149" s="3">
        <v>3.4948261710288833E-3</v>
      </c>
    </row>
    <row r="150" spans="1:2" x14ac:dyDescent="0.25">
      <c r="A150" s="2">
        <v>145</v>
      </c>
      <c r="B150" s="3">
        <v>3.50754832076403E-3</v>
      </c>
    </row>
    <row r="151" spans="1:2" x14ac:dyDescent="0.25">
      <c r="A151" s="2">
        <v>146</v>
      </c>
      <c r="B151" s="3">
        <v>3.7078539013078592E-3</v>
      </c>
    </row>
    <row r="152" spans="1:2" x14ac:dyDescent="0.25">
      <c r="A152" s="2">
        <v>147</v>
      </c>
      <c r="B152" s="3">
        <v>3.4161880448627521E-3</v>
      </c>
    </row>
    <row r="153" spans="1:2" x14ac:dyDescent="0.25">
      <c r="A153" s="2">
        <v>148</v>
      </c>
      <c r="B153" s="3">
        <v>3.3913697098138179E-3</v>
      </c>
    </row>
    <row r="154" spans="1:2" x14ac:dyDescent="0.25">
      <c r="A154" s="2">
        <v>149</v>
      </c>
      <c r="B154" s="3">
        <v>3.3051116403329424E-3</v>
      </c>
    </row>
    <row r="155" spans="1:2" x14ac:dyDescent="0.25">
      <c r="A155" s="2">
        <v>150</v>
      </c>
      <c r="B155" s="3">
        <v>3.4731766455353692E-3</v>
      </c>
    </row>
    <row r="156" spans="1:2" x14ac:dyDescent="0.25">
      <c r="A156" s="2">
        <v>151</v>
      </c>
      <c r="B156" s="3">
        <v>3.2050767272700374E-3</v>
      </c>
    </row>
    <row r="157" spans="1:2" x14ac:dyDescent="0.25">
      <c r="A157" s="2">
        <v>152</v>
      </c>
      <c r="B157" s="3">
        <v>3.3295335120678217E-3</v>
      </c>
    </row>
    <row r="158" spans="1:2" x14ac:dyDescent="0.25">
      <c r="A158" s="2">
        <v>153</v>
      </c>
      <c r="B158" s="3">
        <v>3.188836632086087E-3</v>
      </c>
    </row>
    <row r="159" spans="1:2" x14ac:dyDescent="0.25">
      <c r="A159" s="2">
        <v>154</v>
      </c>
      <c r="B159" s="3">
        <v>3.3097903524493197E-3</v>
      </c>
    </row>
    <row r="160" spans="1:2" x14ac:dyDescent="0.25">
      <c r="A160" s="2">
        <v>155</v>
      </c>
      <c r="B160" s="3">
        <v>3.3031131095729105E-3</v>
      </c>
    </row>
    <row r="161" spans="1:2" x14ac:dyDescent="0.25">
      <c r="A161" s="2">
        <v>156</v>
      </c>
      <c r="B161" s="3">
        <v>3.0870145331048336E-3</v>
      </c>
    </row>
    <row r="162" spans="1:2" x14ac:dyDescent="0.25">
      <c r="A162" s="2">
        <v>157</v>
      </c>
      <c r="B162" s="3">
        <v>3.2304813072775939E-3</v>
      </c>
    </row>
    <row r="163" spans="1:2" x14ac:dyDescent="0.25">
      <c r="A163" s="2">
        <v>158</v>
      </c>
      <c r="B163" s="3">
        <v>3.0763545196690677E-3</v>
      </c>
    </row>
    <row r="164" spans="1:2" x14ac:dyDescent="0.25">
      <c r="A164" s="2">
        <v>159</v>
      </c>
      <c r="B164" s="3">
        <v>3.0613804984549668E-3</v>
      </c>
    </row>
    <row r="165" spans="1:2" x14ac:dyDescent="0.25">
      <c r="A165" s="2">
        <v>160</v>
      </c>
      <c r="B165" s="3">
        <v>3.0203037064971015E-3</v>
      </c>
    </row>
    <row r="166" spans="1:2" x14ac:dyDescent="0.25">
      <c r="A166" s="2">
        <v>161</v>
      </c>
      <c r="B166" s="3">
        <v>2.7164026769507851E-3</v>
      </c>
    </row>
    <row r="167" spans="1:2" x14ac:dyDescent="0.25">
      <c r="A167" s="2">
        <v>162</v>
      </c>
      <c r="B167" s="3">
        <v>3.0343663368606129E-3</v>
      </c>
    </row>
    <row r="168" spans="1:2" x14ac:dyDescent="0.25">
      <c r="A168" s="2">
        <v>163</v>
      </c>
      <c r="B168" s="3">
        <v>3.0370839775248717E-3</v>
      </c>
    </row>
    <row r="169" spans="1:2" x14ac:dyDescent="0.25">
      <c r="A169" s="2">
        <v>164</v>
      </c>
      <c r="B169" s="3">
        <v>2.6997065930564005E-3</v>
      </c>
    </row>
    <row r="170" spans="1:2" x14ac:dyDescent="0.25">
      <c r="A170" s="2">
        <v>165</v>
      </c>
      <c r="B170" s="3">
        <v>2.8498436744424571E-3</v>
      </c>
    </row>
    <row r="171" spans="1:2" x14ac:dyDescent="0.25">
      <c r="A171" s="2">
        <v>166</v>
      </c>
      <c r="B171" s="3">
        <v>2.6303298307426629E-3</v>
      </c>
    </row>
    <row r="172" spans="1:2" x14ac:dyDescent="0.25">
      <c r="A172" s="2">
        <v>167</v>
      </c>
      <c r="B172" s="3">
        <v>2.4188899447168959E-3</v>
      </c>
    </row>
    <row r="173" spans="1:2" x14ac:dyDescent="0.25">
      <c r="A173" s="2">
        <v>168</v>
      </c>
      <c r="B173" s="3">
        <v>2.4983176445194204E-3</v>
      </c>
    </row>
    <row r="174" spans="1:2" x14ac:dyDescent="0.25">
      <c r="A174" s="2">
        <v>169</v>
      </c>
      <c r="B174" s="3">
        <v>2.3572300313796308E-3</v>
      </c>
    </row>
    <row r="175" spans="1:2" x14ac:dyDescent="0.25">
      <c r="A175" s="2">
        <v>170</v>
      </c>
      <c r="B175" s="3">
        <v>2.2970050654903679E-3</v>
      </c>
    </row>
    <row r="176" spans="1:2" x14ac:dyDescent="0.25">
      <c r="A176" s="2">
        <v>171</v>
      </c>
      <c r="B176" s="3">
        <v>2.0799492410423447E-3</v>
      </c>
    </row>
    <row r="177" spans="1:2" x14ac:dyDescent="0.25">
      <c r="A177" s="2">
        <v>172</v>
      </c>
      <c r="B177" s="3">
        <v>2.0660248969824242E-3</v>
      </c>
    </row>
    <row r="178" spans="1:2" x14ac:dyDescent="0.25">
      <c r="A178" s="2">
        <v>173</v>
      </c>
      <c r="B178" s="3">
        <v>1.8629484948892822E-3</v>
      </c>
    </row>
    <row r="179" spans="1:2" x14ac:dyDescent="0.25">
      <c r="A179" s="2">
        <v>174</v>
      </c>
      <c r="B179" s="3">
        <v>1.8661670056532213E-3</v>
      </c>
    </row>
    <row r="180" spans="1:2" x14ac:dyDescent="0.25">
      <c r="A180" s="2">
        <v>175</v>
      </c>
      <c r="B180" s="3">
        <v>1.6919940750005731E-3</v>
      </c>
    </row>
    <row r="181" spans="1:2" x14ac:dyDescent="0.25">
      <c r="A181" s="2">
        <v>176</v>
      </c>
      <c r="B181" s="3">
        <v>1.5294561404054963E-3</v>
      </c>
    </row>
    <row r="182" spans="1:2" x14ac:dyDescent="0.25">
      <c r="A182" s="2">
        <v>177</v>
      </c>
      <c r="B182" s="3">
        <v>1.3978324490178664E-3</v>
      </c>
    </row>
    <row r="183" spans="1:2" x14ac:dyDescent="0.25">
      <c r="A183" s="2">
        <v>178</v>
      </c>
      <c r="B183" s="3">
        <v>1.2399530148217452E-3</v>
      </c>
    </row>
    <row r="184" spans="1:2" x14ac:dyDescent="0.25">
      <c r="A184" s="2">
        <v>179</v>
      </c>
      <c r="B184" s="3">
        <v>1.29012252289808E-3</v>
      </c>
    </row>
    <row r="185" spans="1:2" x14ac:dyDescent="0.25">
      <c r="A185" s="2">
        <v>180</v>
      </c>
      <c r="B185" s="3">
        <v>1.2686038962429552E-3</v>
      </c>
    </row>
    <row r="186" spans="1:2" x14ac:dyDescent="0.25">
      <c r="A186" s="2">
        <v>181</v>
      </c>
      <c r="B186" s="3">
        <v>9.4557446498765322E-4</v>
      </c>
    </row>
    <row r="187" spans="1:2" x14ac:dyDescent="0.25">
      <c r="A187" s="2">
        <v>182</v>
      </c>
      <c r="B187" s="3">
        <v>7.33060679804756E-4</v>
      </c>
    </row>
    <row r="188" spans="1:2" x14ac:dyDescent="0.25">
      <c r="A188" s="2">
        <v>183</v>
      </c>
      <c r="B188" s="3">
        <v>8.0318016865002289E-4</v>
      </c>
    </row>
    <row r="189" spans="1:2" x14ac:dyDescent="0.25">
      <c r="A189" s="2">
        <v>184</v>
      </c>
      <c r="B189" s="3">
        <v>5.2865651626423195E-4</v>
      </c>
    </row>
    <row r="190" spans="1:2" x14ac:dyDescent="0.25">
      <c r="A190" s="2">
        <v>185</v>
      </c>
      <c r="B190" s="3">
        <v>5.4484090621843861E-4</v>
      </c>
    </row>
    <row r="191" spans="1:2" x14ac:dyDescent="0.25">
      <c r="A191" s="2">
        <v>186</v>
      </c>
      <c r="B191" s="3">
        <v>3.8503400155791745E-4</v>
      </c>
    </row>
    <row r="192" spans="1:2" x14ac:dyDescent="0.25">
      <c r="A192" s="2">
        <v>187</v>
      </c>
      <c r="B192" s="3">
        <v>2.2010969835123786E-4</v>
      </c>
    </row>
    <row r="193" spans="1:2" x14ac:dyDescent="0.25">
      <c r="A193" s="2">
        <v>188</v>
      </c>
      <c r="B193" s="3">
        <v>1.8185505933387606E-4</v>
      </c>
    </row>
    <row r="194" spans="1:2" x14ac:dyDescent="0.25">
      <c r="A194" s="2">
        <v>189</v>
      </c>
      <c r="B194" s="3">
        <v>1.2397067831514087E-4</v>
      </c>
    </row>
    <row r="195" spans="1:2" x14ac:dyDescent="0.25">
      <c r="A195" s="2">
        <v>190</v>
      </c>
      <c r="B195" s="3">
        <v>4.9616398182135729E-5</v>
      </c>
    </row>
    <row r="196" spans="1:2" x14ac:dyDescent="0.25">
      <c r="A196" s="2">
        <v>191</v>
      </c>
      <c r="B196" s="3">
        <v>2.3458517242794461E-5</v>
      </c>
    </row>
    <row r="197" spans="1:2" x14ac:dyDescent="0.25">
      <c r="A197" s="2">
        <v>192</v>
      </c>
      <c r="B197" s="3">
        <v>2.4120045668185631E-6</v>
      </c>
    </row>
    <row r="198" spans="1:2" x14ac:dyDescent="0.25">
      <c r="A198" s="2">
        <v>193</v>
      </c>
      <c r="B198" s="3">
        <v>0</v>
      </c>
    </row>
    <row r="199" spans="1:2" x14ac:dyDescent="0.25">
      <c r="A199" s="2">
        <v>194</v>
      </c>
      <c r="B199" s="3">
        <v>0</v>
      </c>
    </row>
    <row r="200" spans="1:2" x14ac:dyDescent="0.25">
      <c r="A200" s="2">
        <v>195</v>
      </c>
      <c r="B200" s="3">
        <v>0</v>
      </c>
    </row>
    <row r="201" spans="1:2" x14ac:dyDescent="0.25">
      <c r="A201" s="2">
        <v>196</v>
      </c>
      <c r="B201" s="3">
        <v>0</v>
      </c>
    </row>
    <row r="202" spans="1:2" x14ac:dyDescent="0.25">
      <c r="A202" s="2">
        <v>197</v>
      </c>
      <c r="B202" s="3">
        <v>0</v>
      </c>
    </row>
    <row r="203" spans="1:2" x14ac:dyDescent="0.25">
      <c r="A203" s="2">
        <v>198</v>
      </c>
      <c r="B203" s="3">
        <v>0</v>
      </c>
    </row>
    <row r="204" spans="1:2" x14ac:dyDescent="0.25">
      <c r="A204" s="2">
        <v>199</v>
      </c>
      <c r="B204" s="3">
        <v>0</v>
      </c>
    </row>
    <row r="205" spans="1:2" x14ac:dyDescent="0.25">
      <c r="A205" s="2">
        <v>200</v>
      </c>
      <c r="B205" s="3">
        <v>0</v>
      </c>
    </row>
    <row r="206" spans="1:2" x14ac:dyDescent="0.25">
      <c r="A206" s="2" t="s">
        <v>3</v>
      </c>
      <c r="B206" s="3">
        <v>0.55180986559527978</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A0535E5-844C-461E-8487-4750A0C5FF5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adjusted h(t)</vt:lpstr>
      <vt:lpstr>all on one plot</vt:lpstr>
      <vt:lpstr>time series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 Kirsch</dc:creator>
  <cp:lastModifiedBy>Steve Kirsch</cp:lastModifiedBy>
  <dcterms:created xsi:type="dcterms:W3CDTF">2015-06-05T18:17:20Z</dcterms:created>
  <dcterms:modified xsi:type="dcterms:W3CDTF">2025-11-03T00:54:21Z</dcterms:modified>
</cp:coreProperties>
</file>